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 Tracker" sheetId="1" state="visible" r:id="rId1"/>
    <sheet name="Statistik" sheetId="2" state="visible" r:id="rId2"/>
    <sheet name="NIS2 Artikel Detail" sheetId="3" state="visible" r:id="rId3"/>
  </sheets>
  <definedNames>
    <definedName name="_xlnm.Print_Titles" localSheetId="0">'Controls Tracker'!$1:$2</definedName>
    <definedName name="_xlnm.Print_Titles" localSheetId="1">'Statistik'!$1:$2</definedName>
    <definedName name="_xlnm.Print_Titles" localSheetId="2">'NIS2 Artikel Detail'!$1:$2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64748B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1D4ED8"/>
      <sz val="9"/>
    </font>
    <font>
      <name val="Arial"/>
      <b val="1"/>
      <color rgb="00B91C1C"/>
      <sz val="9"/>
    </font>
    <font>
      <name val="Arial"/>
      <b val="1"/>
      <color rgb="0015803D"/>
      <sz val="9"/>
    </font>
    <font>
      <name val="Arial"/>
      <color rgb="0015803D"/>
      <sz val="9"/>
    </font>
    <font>
      <name val="Arial"/>
      <b val="1"/>
      <color rgb="0092400E"/>
      <sz val="9"/>
    </font>
    <font>
      <name val="Arial"/>
      <color rgb="0092400E"/>
      <sz val="9"/>
    </font>
    <font>
      <name val="Arial"/>
      <color rgb="00B91C1C"/>
      <sz val="9"/>
    </font>
    <font>
      <name val="Arial"/>
      <b val="1"/>
      <color rgb="0015803D"/>
      <sz val="11"/>
    </font>
    <font>
      <name val="Arial"/>
      <b val="1"/>
      <color rgb="0092400E"/>
      <sz val="11"/>
    </font>
    <font>
      <name val="Arial"/>
      <b val="1"/>
      <color rgb="00B91C1C"/>
      <sz val="11"/>
    </font>
    <font>
      <name val="Arial"/>
      <b val="1"/>
      <sz val="9"/>
    </font>
    <font>
      <name val="Arial"/>
      <b val="1"/>
      <sz val="11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1D4ED8"/>
      <sz val="9"/>
    </font>
    <font>
      <name val="Arial"/>
      <b val="1"/>
      <color rgb="0015803D"/>
      <sz val="10"/>
    </font>
    <font>
      <name val="Arial"/>
      <b val="1"/>
      <color rgb="00FFFFFF"/>
      <sz val="8"/>
    </font>
    <font>
      <name val="Arial"/>
      <b val="1"/>
      <color rgb="00000000"/>
      <sz val="8"/>
    </font>
    <font>
      <name val="Arial"/>
      <color rgb="00000000"/>
      <sz val="8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 wrapText="1"/>
    </xf>
    <xf numFmtId="164" fontId="5" fillId="5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164" fontId="5" fillId="7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165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165" fontId="11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left" vertical="center"/>
    </xf>
    <xf numFmtId="0" fontId="17" fillId="3" borderId="1" applyAlignment="1" pivotButton="0" quotePrefix="0" xfId="0">
      <alignment horizontal="center" vertical="center"/>
    </xf>
    <xf numFmtId="1" fontId="18" fillId="3" borderId="1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21" fillId="8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1" fillId="7" borderId="1" applyAlignment="1" pivotButton="0" quotePrefix="0" xfId="0">
      <alignment horizontal="center" vertical="center"/>
    </xf>
    <xf numFmtId="9" fontId="5" fillId="6" borderId="1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/>
    </xf>
    <xf numFmtId="0" fontId="22" fillId="10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left" vertical="center" wrapText="1"/>
    </xf>
    <xf numFmtId="0" fontId="24" fillId="3" borderId="1" applyAlignment="1" pivotButton="0" quotePrefix="0" xfId="0">
      <alignment horizontal="center" vertical="center"/>
    </xf>
    <xf numFmtId="164" fontId="24" fillId="3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center" vertical="center"/>
    </xf>
    <xf numFmtId="164" fontId="24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name val="Arial"/>
        <b val="1"/>
        <color rgb="0015803D"/>
      </font>
      <fill>
        <patternFill patternType="solid">
          <fgColor rgb="00DCFCE7"/>
        </patternFill>
      </fill>
    </dxf>
    <dxf>
      <font>
        <name val="Arial"/>
        <b val="1"/>
        <color rgb="0092400E"/>
      </font>
      <fill>
        <patternFill patternType="solid">
          <fgColor rgb="00FEF3C7"/>
        </patternFill>
      </fill>
    </dxf>
    <dxf>
      <font>
        <name val="Arial"/>
        <b val="1"/>
        <color rgb="00B91C1C"/>
      </font>
      <fill>
        <patternFill patternType="solid">
          <fgColor rgb="00FEE2E2"/>
        </patternFill>
      </fill>
    </dxf>
    <dxf>
      <font>
        <name val="Arial"/>
        <color rgb="0092400E"/>
      </font>
      <fill>
        <patternFill patternType="solid">
          <fgColor rgb="00FEF3C7"/>
        </patternFill>
      </fill>
    </dxf>
    <dxf>
      <font>
        <name val="Arial"/>
        <color rgb="00B91C1C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P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16" customWidth="1" min="4" max="4"/>
    <col width="30" customWidth="1" min="5" max="5"/>
    <col width="16" customWidth="1" min="6" max="6"/>
    <col width="32" customWidth="1" min="7" max="7"/>
    <col width="38" customWidth="1" min="8" max="8"/>
    <col width="20" customWidth="1" min="9" max="9"/>
    <col width="14" customWidth="1" min="10" max="10"/>
    <col width="28" customWidth="1" min="11" max="11"/>
    <col width="28" customWidth="1" min="12" max="12"/>
    <col width="2" customWidth="1" min="14" max="14"/>
    <col width="18" customWidth="1" min="15" max="15"/>
    <col width="22" customWidth="1" min="16" max="16"/>
  </cols>
  <sheetData>
    <row r="1" ht="30" customHeight="1">
      <c r="A1" s="1" t="inlineStr">
        <is>
          <t>ISMS Control Tracker  ·  ISO 27001:2022 Annex A  ·  NIS2 Art. 21</t>
        </is>
      </c>
      <c r="O1" s="2" t="inlineStr">
        <is>
          <t>Legende Status</t>
        </is>
      </c>
    </row>
    <row r="2" ht="36" customHeight="1">
      <c r="A2" s="3" t="inlineStr">
        <is>
          <t>Nr.</t>
        </is>
      </c>
      <c r="B2" s="3" t="inlineStr">
        <is>
          <t>Control ID</t>
        </is>
      </c>
      <c r="C2" s="3" t="inlineStr">
        <is>
          <t>Control Name (Deutsch)</t>
        </is>
      </c>
      <c r="D2" s="3" t="inlineStr">
        <is>
          <t>Kategorie</t>
        </is>
      </c>
      <c r="E2" s="3" t="inlineStr">
        <is>
          <t>NIS2 Artikel</t>
        </is>
      </c>
      <c r="F2" s="3" t="inlineStr">
        <is>
          <t>Status</t>
        </is>
      </c>
      <c r="G2" s="3" t="inlineStr">
        <is>
          <t>Zweck / Ziel</t>
        </is>
      </c>
      <c r="H2" s="3" t="inlineStr">
        <is>
          <t>Umsetzungsmaßnahmen</t>
        </is>
      </c>
      <c r="I2" s="3" t="inlineStr">
        <is>
          <t>Verantwortlicher</t>
        </is>
      </c>
      <c r="J2" s="3" t="inlineStr">
        <is>
          <t>Datum Umsetzung</t>
        </is>
      </c>
      <c r="K2" s="3" t="inlineStr">
        <is>
          <t>Nachweise / Referenz</t>
        </is>
      </c>
      <c r="L2" s="3" t="inlineStr">
        <is>
          <t>Kommentar</t>
        </is>
      </c>
      <c r="O2" s="4" t="inlineStr">
        <is>
          <t>Status</t>
        </is>
      </c>
      <c r="P2" s="4" t="inlineStr">
        <is>
          <t>Bedeutung</t>
        </is>
      </c>
    </row>
    <row r="3" ht="36" customHeight="1">
      <c r="A3" s="5" t="n">
        <v>1</v>
      </c>
      <c r="B3" s="6" t="inlineStr">
        <is>
          <t>5.1</t>
        </is>
      </c>
      <c r="C3" s="7" t="inlineStr">
        <is>
          <t>Richtlinien zur Informationssicherheit</t>
        </is>
      </c>
      <c r="D3" s="8" t="inlineStr">
        <is>
          <t>Organisatorisch</t>
        </is>
      </c>
      <c r="E3" s="9" t="inlineStr">
        <is>
          <t>Art.21(2)(a)</t>
        </is>
      </c>
      <c r="F3" s="10" t="inlineStr">
        <is>
          <t>Nicht umgesetzt</t>
        </is>
      </c>
      <c r="G3" s="11" t="n"/>
      <c r="H3" s="11" t="n"/>
      <c r="I3" s="11" t="n"/>
      <c r="J3" s="12" t="n"/>
      <c r="K3" s="11" t="n"/>
      <c r="L3" s="11" t="n"/>
      <c r="O3" s="13" t="inlineStr">
        <is>
          <t>Umgesetzt</t>
        </is>
      </c>
      <c r="P3" s="14" t="inlineStr">
        <is>
          <t>Vollständig implementiert</t>
        </is>
      </c>
    </row>
    <row r="4" ht="36" customHeight="1">
      <c r="A4" s="15" t="n">
        <v>2</v>
      </c>
      <c r="B4" s="16" t="inlineStr">
        <is>
          <t>5.2</t>
        </is>
      </c>
      <c r="C4" s="17" t="inlineStr">
        <is>
          <t>Rollen und Verantwortlichkeiten</t>
        </is>
      </c>
      <c r="D4" s="18" t="inlineStr">
        <is>
          <t>Organisatorisch</t>
        </is>
      </c>
      <c r="E4" s="19" t="inlineStr">
        <is>
          <t>Art.21(2)(a)</t>
        </is>
      </c>
      <c r="F4" s="10" t="inlineStr">
        <is>
          <t>Nicht umgesetzt</t>
        </is>
      </c>
      <c r="G4" s="20" t="n"/>
      <c r="H4" s="20" t="n"/>
      <c r="I4" s="20" t="n"/>
      <c r="J4" s="21" t="n"/>
      <c r="K4" s="20" t="n"/>
      <c r="L4" s="20" t="n"/>
      <c r="O4" s="22" t="inlineStr">
        <is>
          <t>Teilweise</t>
        </is>
      </c>
      <c r="P4" s="23" t="inlineStr">
        <is>
          <t>In Umsetzung / unvollständig</t>
        </is>
      </c>
    </row>
    <row r="5" ht="36" customHeight="1">
      <c r="A5" s="5" t="n">
        <v>3</v>
      </c>
      <c r="B5" s="6" t="inlineStr">
        <is>
          <t>5.3</t>
        </is>
      </c>
      <c r="C5" s="7" t="inlineStr">
        <is>
          <t>Aufgabentrennung</t>
        </is>
      </c>
      <c r="D5" s="8" t="inlineStr">
        <is>
          <t>Organisatorisch</t>
        </is>
      </c>
      <c r="E5" s="9" t="inlineStr">
        <is>
          <t>Art.21(2)(a)</t>
        </is>
      </c>
      <c r="F5" s="10" t="inlineStr">
        <is>
          <t>Nicht umgesetzt</t>
        </is>
      </c>
      <c r="G5" s="11" t="n"/>
      <c r="H5" s="11" t="n"/>
      <c r="I5" s="11" t="n"/>
      <c r="J5" s="12" t="n"/>
      <c r="K5" s="11" t="n"/>
      <c r="L5" s="11" t="n"/>
      <c r="O5" s="24" t="inlineStr">
        <is>
          <t>Nicht umgesetzt</t>
        </is>
      </c>
      <c r="P5" s="25" t="inlineStr">
        <is>
          <t>Noch nicht begonnen</t>
        </is>
      </c>
    </row>
    <row r="6" ht="36" customHeight="1">
      <c r="A6" s="15" t="n">
        <v>4</v>
      </c>
      <c r="B6" s="16" t="inlineStr">
        <is>
          <t>5.4</t>
        </is>
      </c>
      <c r="C6" s="17" t="inlineStr">
        <is>
          <t>Managementverantwortlichkeiten</t>
        </is>
      </c>
      <c r="D6" s="18" t="inlineStr">
        <is>
          <t>Organisatorisch</t>
        </is>
      </c>
      <c r="E6" s="19" t="inlineStr">
        <is>
          <t>–</t>
        </is>
      </c>
      <c r="F6" s="10" t="inlineStr">
        <is>
          <t>Nicht umgesetzt</t>
        </is>
      </c>
      <c r="G6" s="20" t="n"/>
      <c r="H6" s="20" t="n"/>
      <c r="I6" s="20" t="n"/>
      <c r="J6" s="21" t="n"/>
      <c r="K6" s="20" t="n"/>
      <c r="L6" s="20" t="n"/>
    </row>
    <row r="7" ht="36" customHeight="1">
      <c r="A7" s="5" t="n">
        <v>5</v>
      </c>
      <c r="B7" s="6" t="inlineStr">
        <is>
          <t>5.5</t>
        </is>
      </c>
      <c r="C7" s="7" t="inlineStr">
        <is>
          <t>Kontakt mit Behörden</t>
        </is>
      </c>
      <c r="D7" s="8" t="inlineStr">
        <is>
          <t>Organisatorisch</t>
        </is>
      </c>
      <c r="E7" s="9" t="inlineStr">
        <is>
          <t>–</t>
        </is>
      </c>
      <c r="F7" s="10" t="inlineStr">
        <is>
          <t>Nicht umgesetzt</t>
        </is>
      </c>
      <c r="G7" s="11" t="n"/>
      <c r="H7" s="11" t="n"/>
      <c r="I7" s="11" t="n"/>
      <c r="J7" s="12" t="n"/>
      <c r="K7" s="11" t="n"/>
      <c r="L7" s="11" t="n"/>
    </row>
    <row r="8" ht="36" customHeight="1">
      <c r="A8" s="15" t="n">
        <v>6</v>
      </c>
      <c r="B8" s="16" t="inlineStr">
        <is>
          <t>5.6</t>
        </is>
      </c>
      <c r="C8" s="17" t="inlineStr">
        <is>
          <t>Kontakt mit Interessengruppen</t>
        </is>
      </c>
      <c r="D8" s="18" t="inlineStr">
        <is>
          <t>Organisatorisch</t>
        </is>
      </c>
      <c r="E8" s="19" t="inlineStr">
        <is>
          <t>–</t>
        </is>
      </c>
      <c r="F8" s="10" t="inlineStr">
        <is>
          <t>Nicht umgesetzt</t>
        </is>
      </c>
      <c r="G8" s="20" t="n"/>
      <c r="H8" s="20" t="n"/>
      <c r="I8" s="20" t="n"/>
      <c r="J8" s="21" t="n"/>
      <c r="K8" s="20" t="n"/>
      <c r="L8" s="20" t="n"/>
    </row>
    <row r="9" ht="36" customHeight="1">
      <c r="A9" s="5" t="n">
        <v>7</v>
      </c>
      <c r="B9" s="6" t="inlineStr">
        <is>
          <t>5.7</t>
        </is>
      </c>
      <c r="C9" s="7" t="inlineStr">
        <is>
          <t>Threat Intelligence</t>
        </is>
      </c>
      <c r="D9" s="8" t="inlineStr">
        <is>
          <t>Organisatorisch</t>
        </is>
      </c>
      <c r="E9" s="9" t="inlineStr">
        <is>
          <t>–</t>
        </is>
      </c>
      <c r="F9" s="10" t="inlineStr">
        <is>
          <t>Nicht umgesetzt</t>
        </is>
      </c>
      <c r="G9" s="11" t="n"/>
      <c r="H9" s="11" t="n"/>
      <c r="I9" s="11" t="n"/>
      <c r="J9" s="12" t="n"/>
      <c r="K9" s="11" t="n"/>
      <c r="L9" s="11" t="n"/>
    </row>
    <row r="10" ht="36" customHeight="1">
      <c r="A10" s="15" t="n">
        <v>8</v>
      </c>
      <c r="B10" s="16" t="inlineStr">
        <is>
          <t>5.8</t>
        </is>
      </c>
      <c r="C10" s="17" t="inlineStr">
        <is>
          <t>Informationssicherheit im Projektmanagement</t>
        </is>
      </c>
      <c r="D10" s="18" t="inlineStr">
        <is>
          <t>Organisatorisch</t>
        </is>
      </c>
      <c r="E10" s="19" t="inlineStr">
        <is>
          <t>–</t>
        </is>
      </c>
      <c r="F10" s="10" t="inlineStr">
        <is>
          <t>Nicht umgesetzt</t>
        </is>
      </c>
      <c r="G10" s="20" t="n"/>
      <c r="H10" s="20" t="n"/>
      <c r="I10" s="20" t="n"/>
      <c r="J10" s="21" t="n"/>
      <c r="K10" s="20" t="n"/>
      <c r="L10" s="20" t="n"/>
    </row>
    <row r="11" ht="36" customHeight="1">
      <c r="A11" s="5" t="n">
        <v>9</v>
      </c>
      <c r="B11" s="6" t="inlineStr">
        <is>
          <t>5.9</t>
        </is>
      </c>
      <c r="C11" s="7" t="inlineStr">
        <is>
          <t>Inventar der Informationen und Assets</t>
        </is>
      </c>
      <c r="D11" s="8" t="inlineStr">
        <is>
          <t>Organisatorisch</t>
        </is>
      </c>
      <c r="E11" s="9" t="inlineStr">
        <is>
          <t>Art.21(2)(i)</t>
        </is>
      </c>
      <c r="F11" s="10" t="inlineStr">
        <is>
          <t>Nicht umgesetzt</t>
        </is>
      </c>
      <c r="G11" s="11" t="n"/>
      <c r="H11" s="11" t="n"/>
      <c r="I11" s="11" t="n"/>
      <c r="J11" s="12" t="n"/>
      <c r="K11" s="11" t="n"/>
      <c r="L11" s="11" t="n"/>
    </row>
    <row r="12" ht="36" customHeight="1">
      <c r="A12" s="15" t="n">
        <v>10</v>
      </c>
      <c r="B12" s="16" t="inlineStr">
        <is>
          <t>5.10</t>
        </is>
      </c>
      <c r="C12" s="17" t="inlineStr">
        <is>
          <t>Akzeptable Nutzung von Informationen und Assets</t>
        </is>
      </c>
      <c r="D12" s="18" t="inlineStr">
        <is>
          <t>Organisatorisch</t>
        </is>
      </c>
      <c r="E12" s="19" t="inlineStr">
        <is>
          <t>Art.21(2)(i)</t>
        </is>
      </c>
      <c r="F12" s="10" t="inlineStr">
        <is>
          <t>Nicht umgesetzt</t>
        </is>
      </c>
      <c r="G12" s="20" t="n"/>
      <c r="H12" s="20" t="n"/>
      <c r="I12" s="20" t="n"/>
      <c r="J12" s="21" t="n"/>
      <c r="K12" s="20" t="n"/>
      <c r="L12" s="20" t="n"/>
    </row>
    <row r="13" ht="36" customHeight="1">
      <c r="A13" s="5" t="n">
        <v>11</v>
      </c>
      <c r="B13" s="6" t="inlineStr">
        <is>
          <t>5.11</t>
        </is>
      </c>
      <c r="C13" s="7" t="inlineStr">
        <is>
          <t>Rückgabe von Assets</t>
        </is>
      </c>
      <c r="D13" s="8" t="inlineStr">
        <is>
          <t>Organisatorisch</t>
        </is>
      </c>
      <c r="E13" s="9" t="inlineStr">
        <is>
          <t>Art.21(2)(i)</t>
        </is>
      </c>
      <c r="F13" s="10" t="inlineStr">
        <is>
          <t>Nicht umgesetzt</t>
        </is>
      </c>
      <c r="G13" s="11" t="n"/>
      <c r="H13" s="11" t="n"/>
      <c r="I13" s="11" t="n"/>
      <c r="J13" s="12" t="n"/>
      <c r="K13" s="11" t="n"/>
      <c r="L13" s="11" t="n"/>
    </row>
    <row r="14" ht="36" customHeight="1">
      <c r="A14" s="15" t="n">
        <v>12</v>
      </c>
      <c r="B14" s="16" t="inlineStr">
        <is>
          <t>5.12</t>
        </is>
      </c>
      <c r="C14" s="17" t="inlineStr">
        <is>
          <t>Klassifizierung von Informationen</t>
        </is>
      </c>
      <c r="D14" s="18" t="inlineStr">
        <is>
          <t>Organisatorisch</t>
        </is>
      </c>
      <c r="E14" s="19" t="inlineStr">
        <is>
          <t>–</t>
        </is>
      </c>
      <c r="F14" s="10" t="inlineStr">
        <is>
          <t>Nicht umgesetzt</t>
        </is>
      </c>
      <c r="G14" s="20" t="n"/>
      <c r="H14" s="20" t="n"/>
      <c r="I14" s="20" t="n"/>
      <c r="J14" s="21" t="n"/>
      <c r="K14" s="20" t="n"/>
      <c r="L14" s="20" t="n"/>
    </row>
    <row r="15" ht="36" customHeight="1">
      <c r="A15" s="5" t="n">
        <v>13</v>
      </c>
      <c r="B15" s="6" t="inlineStr">
        <is>
          <t>5.13</t>
        </is>
      </c>
      <c r="C15" s="7" t="inlineStr">
        <is>
          <t>Kennzeichnung von Informationen</t>
        </is>
      </c>
      <c r="D15" s="8" t="inlineStr">
        <is>
          <t>Organisatorisch</t>
        </is>
      </c>
      <c r="E15" s="9" t="inlineStr">
        <is>
          <t>–</t>
        </is>
      </c>
      <c r="F15" s="10" t="inlineStr">
        <is>
          <t>Nicht umgesetzt</t>
        </is>
      </c>
      <c r="G15" s="11" t="n"/>
      <c r="H15" s="11" t="n"/>
      <c r="I15" s="11" t="n"/>
      <c r="J15" s="12" t="n"/>
      <c r="K15" s="11" t="n"/>
      <c r="L15" s="11" t="n"/>
    </row>
    <row r="16" ht="36" customHeight="1">
      <c r="A16" s="15" t="n">
        <v>14</v>
      </c>
      <c r="B16" s="16" t="inlineStr">
        <is>
          <t>5.14</t>
        </is>
      </c>
      <c r="C16" s="17" t="inlineStr">
        <is>
          <t>Informationsübertragung</t>
        </is>
      </c>
      <c r="D16" s="18" t="inlineStr">
        <is>
          <t>Organisatorisch</t>
        </is>
      </c>
      <c r="E16" s="19" t="inlineStr">
        <is>
          <t>Art.21(2)(j)</t>
        </is>
      </c>
      <c r="F16" s="10" t="inlineStr">
        <is>
          <t>Nicht umgesetzt</t>
        </is>
      </c>
      <c r="G16" s="20" t="n"/>
      <c r="H16" s="20" t="n"/>
      <c r="I16" s="20" t="n"/>
      <c r="J16" s="21" t="n"/>
      <c r="K16" s="20" t="n"/>
      <c r="L16" s="20" t="n"/>
    </row>
    <row r="17" ht="36" customHeight="1">
      <c r="A17" s="5" t="n">
        <v>15</v>
      </c>
      <c r="B17" s="6" t="inlineStr">
        <is>
          <t>5.15</t>
        </is>
      </c>
      <c r="C17" s="7" t="inlineStr">
        <is>
          <t>Zugriffskontrolle</t>
        </is>
      </c>
      <c r="D17" s="8" t="inlineStr">
        <is>
          <t>Organisatorisch</t>
        </is>
      </c>
      <c r="E17" s="9" t="inlineStr">
        <is>
          <t>Art.21(2)(i)</t>
        </is>
      </c>
      <c r="F17" s="10" t="inlineStr">
        <is>
          <t>Nicht umgesetzt</t>
        </is>
      </c>
      <c r="G17" s="11" t="n"/>
      <c r="H17" s="11" t="n"/>
      <c r="I17" s="11" t="n"/>
      <c r="J17" s="12" t="n"/>
      <c r="K17" s="11" t="n"/>
      <c r="L17" s="11" t="n"/>
    </row>
    <row r="18" ht="36" customHeight="1">
      <c r="A18" s="15" t="n">
        <v>16</v>
      </c>
      <c r="B18" s="16" t="inlineStr">
        <is>
          <t>5.16</t>
        </is>
      </c>
      <c r="C18" s="17" t="inlineStr">
        <is>
          <t>Identitätsmanagement</t>
        </is>
      </c>
      <c r="D18" s="18" t="inlineStr">
        <is>
          <t>Organisatorisch</t>
        </is>
      </c>
      <c r="E18" s="19" t="inlineStr">
        <is>
          <t>Art.21(2)(i)</t>
        </is>
      </c>
      <c r="F18" s="10" t="inlineStr">
        <is>
          <t>Nicht umgesetzt</t>
        </is>
      </c>
      <c r="G18" s="20" t="n"/>
      <c r="H18" s="20" t="n"/>
      <c r="I18" s="20" t="n"/>
      <c r="J18" s="21" t="n"/>
      <c r="K18" s="20" t="n"/>
      <c r="L18" s="20" t="n"/>
    </row>
    <row r="19" ht="36" customHeight="1">
      <c r="A19" s="5" t="n">
        <v>17</v>
      </c>
      <c r="B19" s="6" t="inlineStr">
        <is>
          <t>5.17</t>
        </is>
      </c>
      <c r="C19" s="7" t="inlineStr">
        <is>
          <t>Authentifizierungsinformationen</t>
        </is>
      </c>
      <c r="D19" s="8" t="inlineStr">
        <is>
          <t>Organisatorisch</t>
        </is>
      </c>
      <c r="E19" s="9" t="inlineStr">
        <is>
          <t>Art.21(2)(i)</t>
        </is>
      </c>
      <c r="F19" s="10" t="inlineStr">
        <is>
          <t>Nicht umgesetzt</t>
        </is>
      </c>
      <c r="G19" s="11" t="n"/>
      <c r="H19" s="11" t="n"/>
      <c r="I19" s="11" t="n"/>
      <c r="J19" s="12" t="n"/>
      <c r="K19" s="11" t="n"/>
      <c r="L19" s="11" t="n"/>
    </row>
    <row r="20" ht="36" customHeight="1">
      <c r="A20" s="15" t="n">
        <v>18</v>
      </c>
      <c r="B20" s="16" t="inlineStr">
        <is>
          <t>5.18</t>
        </is>
      </c>
      <c r="C20" s="17" t="inlineStr">
        <is>
          <t>Zugriffsrechte</t>
        </is>
      </c>
      <c r="D20" s="18" t="inlineStr">
        <is>
          <t>Organisatorisch</t>
        </is>
      </c>
      <c r="E20" s="19" t="inlineStr">
        <is>
          <t>Art.21(2)(i)</t>
        </is>
      </c>
      <c r="F20" s="10" t="inlineStr">
        <is>
          <t>Nicht umgesetzt</t>
        </is>
      </c>
      <c r="G20" s="20" t="n"/>
      <c r="H20" s="20" t="n"/>
      <c r="I20" s="20" t="n"/>
      <c r="J20" s="21" t="n"/>
      <c r="K20" s="20" t="n"/>
      <c r="L20" s="20" t="n"/>
    </row>
    <row r="21" ht="36" customHeight="1">
      <c r="A21" s="5" t="n">
        <v>19</v>
      </c>
      <c r="B21" s="6" t="inlineStr">
        <is>
          <t>5.19</t>
        </is>
      </c>
      <c r="C21" s="7" t="inlineStr">
        <is>
          <t>Informationssicherheit in Lieferantenbeziehungen</t>
        </is>
      </c>
      <c r="D21" s="8" t="inlineStr">
        <is>
          <t>Organisatorisch</t>
        </is>
      </c>
      <c r="E21" s="9" t="inlineStr">
        <is>
          <t>Art.21(2)(d)</t>
        </is>
      </c>
      <c r="F21" s="10" t="inlineStr">
        <is>
          <t>Nicht umgesetzt</t>
        </is>
      </c>
      <c r="G21" s="11" t="n"/>
      <c r="H21" s="11" t="n"/>
      <c r="I21" s="11" t="n"/>
      <c r="J21" s="12" t="n"/>
      <c r="K21" s="11" t="n"/>
      <c r="L21" s="11" t="n"/>
    </row>
    <row r="22" ht="36" customHeight="1">
      <c r="A22" s="15" t="n">
        <v>20</v>
      </c>
      <c r="B22" s="16" t="inlineStr">
        <is>
          <t>5.20</t>
        </is>
      </c>
      <c r="C22" s="17" t="inlineStr">
        <is>
          <t>Informationssicherheit in Lieferantenvereinbarungen</t>
        </is>
      </c>
      <c r="D22" s="18" t="inlineStr">
        <is>
          <t>Organisatorisch</t>
        </is>
      </c>
      <c r="E22" s="19" t="inlineStr">
        <is>
          <t>Art.21(2)(d)</t>
        </is>
      </c>
      <c r="F22" s="10" t="inlineStr">
        <is>
          <t>Nicht umgesetzt</t>
        </is>
      </c>
      <c r="G22" s="20" t="n"/>
      <c r="H22" s="20" t="n"/>
      <c r="I22" s="20" t="n"/>
      <c r="J22" s="21" t="n"/>
      <c r="K22" s="20" t="n"/>
      <c r="L22" s="20" t="n"/>
    </row>
    <row r="23" ht="36" customHeight="1">
      <c r="A23" s="5" t="n">
        <v>21</v>
      </c>
      <c r="B23" s="6" t="inlineStr">
        <is>
          <t>5.21</t>
        </is>
      </c>
      <c r="C23" s="7" t="inlineStr">
        <is>
          <t>Informationssicherheit in der IKT-Lieferkette</t>
        </is>
      </c>
      <c r="D23" s="8" t="inlineStr">
        <is>
          <t>Organisatorisch</t>
        </is>
      </c>
      <c r="E23" s="9" t="inlineStr">
        <is>
          <t>Art.21(2)(d)</t>
        </is>
      </c>
      <c r="F23" s="10" t="inlineStr">
        <is>
          <t>Nicht umgesetzt</t>
        </is>
      </c>
      <c r="G23" s="11" t="n"/>
      <c r="H23" s="11" t="n"/>
      <c r="I23" s="11" t="n"/>
      <c r="J23" s="12" t="n"/>
      <c r="K23" s="11" t="n"/>
      <c r="L23" s="11" t="n"/>
    </row>
    <row r="24" ht="36" customHeight="1">
      <c r="A24" s="15" t="n">
        <v>22</v>
      </c>
      <c r="B24" s="16" t="inlineStr">
        <is>
          <t>5.22</t>
        </is>
      </c>
      <c r="C24" s="17" t="inlineStr">
        <is>
          <t>Überwachung und Management von Lieferantendiensten</t>
        </is>
      </c>
      <c r="D24" s="18" t="inlineStr">
        <is>
          <t>Organisatorisch</t>
        </is>
      </c>
      <c r="E24" s="19" t="inlineStr">
        <is>
          <t>Art.21(2)(d)</t>
        </is>
      </c>
      <c r="F24" s="10" t="inlineStr">
        <is>
          <t>Nicht umgesetzt</t>
        </is>
      </c>
      <c r="G24" s="20" t="n"/>
      <c r="H24" s="20" t="n"/>
      <c r="I24" s="20" t="n"/>
      <c r="J24" s="21" t="n"/>
      <c r="K24" s="20" t="n"/>
      <c r="L24" s="20" t="n"/>
    </row>
    <row r="25" ht="36" customHeight="1">
      <c r="A25" s="5" t="n">
        <v>23</v>
      </c>
      <c r="B25" s="6" t="inlineStr">
        <is>
          <t>5.23</t>
        </is>
      </c>
      <c r="C25" s="7" t="inlineStr">
        <is>
          <t>Informationssicherheit bei Cloud-Diensten</t>
        </is>
      </c>
      <c r="D25" s="8" t="inlineStr">
        <is>
          <t>Organisatorisch</t>
        </is>
      </c>
      <c r="E25" s="9" t="inlineStr">
        <is>
          <t>Art.21(2)(d)</t>
        </is>
      </c>
      <c r="F25" s="10" t="inlineStr">
        <is>
          <t>Nicht umgesetzt</t>
        </is>
      </c>
      <c r="G25" s="11" t="n"/>
      <c r="H25" s="11" t="n"/>
      <c r="I25" s="11" t="n"/>
      <c r="J25" s="12" t="n"/>
      <c r="K25" s="11" t="n"/>
      <c r="L25" s="11" t="n"/>
    </row>
    <row r="26" ht="36" customHeight="1">
      <c r="A26" s="15" t="n">
        <v>24</v>
      </c>
      <c r="B26" s="16" t="inlineStr">
        <is>
          <t>5.24</t>
        </is>
      </c>
      <c r="C26" s="17" t="inlineStr">
        <is>
          <t>Planung und Vorbereitung des Incident Managements</t>
        </is>
      </c>
      <c r="D26" s="18" t="inlineStr">
        <is>
          <t>Organisatorisch</t>
        </is>
      </c>
      <c r="E26" s="19" t="inlineStr">
        <is>
          <t>Art.21(2)(b)</t>
        </is>
      </c>
      <c r="F26" s="10" t="inlineStr">
        <is>
          <t>Nicht umgesetzt</t>
        </is>
      </c>
      <c r="G26" s="20" t="n"/>
      <c r="H26" s="20" t="n"/>
      <c r="I26" s="20" t="n"/>
      <c r="J26" s="21" t="n"/>
      <c r="K26" s="20" t="n"/>
      <c r="L26" s="20" t="n"/>
    </row>
    <row r="27" ht="36" customHeight="1">
      <c r="A27" s="5" t="n">
        <v>25</v>
      </c>
      <c r="B27" s="6" t="inlineStr">
        <is>
          <t>5.25</t>
        </is>
      </c>
      <c r="C27" s="7" t="inlineStr">
        <is>
          <t>Beurteilung und Entscheidung bei Sicherheitsereignissen</t>
        </is>
      </c>
      <c r="D27" s="8" t="inlineStr">
        <is>
          <t>Organisatorisch</t>
        </is>
      </c>
      <c r="E27" s="9" t="inlineStr">
        <is>
          <t>Art.21(2)(b)</t>
        </is>
      </c>
      <c r="F27" s="10" t="inlineStr">
        <is>
          <t>Nicht umgesetzt</t>
        </is>
      </c>
      <c r="G27" s="11" t="n"/>
      <c r="H27" s="11" t="n"/>
      <c r="I27" s="11" t="n"/>
      <c r="J27" s="12" t="n"/>
      <c r="K27" s="11" t="n"/>
      <c r="L27" s="11" t="n"/>
    </row>
    <row r="28" ht="36" customHeight="1">
      <c r="A28" s="15" t="n">
        <v>26</v>
      </c>
      <c r="B28" s="16" t="inlineStr">
        <is>
          <t>5.26</t>
        </is>
      </c>
      <c r="C28" s="17" t="inlineStr">
        <is>
          <t>Reaktion auf Sicherheitsvorfälle</t>
        </is>
      </c>
      <c r="D28" s="18" t="inlineStr">
        <is>
          <t>Organisatorisch</t>
        </is>
      </c>
      <c r="E28" s="19" t="inlineStr">
        <is>
          <t>Art.21(2)(b)</t>
        </is>
      </c>
      <c r="F28" s="10" t="inlineStr">
        <is>
          <t>Nicht umgesetzt</t>
        </is>
      </c>
      <c r="G28" s="20" t="n"/>
      <c r="H28" s="20" t="n"/>
      <c r="I28" s="20" t="n"/>
      <c r="J28" s="21" t="n"/>
      <c r="K28" s="20" t="n"/>
      <c r="L28" s="20" t="n"/>
    </row>
    <row r="29" ht="36" customHeight="1">
      <c r="A29" s="5" t="n">
        <v>27</v>
      </c>
      <c r="B29" s="6" t="inlineStr">
        <is>
          <t>5.27</t>
        </is>
      </c>
      <c r="C29" s="7" t="inlineStr">
        <is>
          <t>Lernen aus Sicherheitsvorfällen</t>
        </is>
      </c>
      <c r="D29" s="8" t="inlineStr">
        <is>
          <t>Organisatorisch</t>
        </is>
      </c>
      <c r="E29" s="9" t="inlineStr">
        <is>
          <t>Art.21(2)(b)</t>
        </is>
      </c>
      <c r="F29" s="10" t="inlineStr">
        <is>
          <t>Nicht umgesetzt</t>
        </is>
      </c>
      <c r="G29" s="11" t="n"/>
      <c r="H29" s="11" t="n"/>
      <c r="I29" s="11" t="n"/>
      <c r="J29" s="12" t="n"/>
      <c r="K29" s="11" t="n"/>
      <c r="L29" s="11" t="n"/>
    </row>
    <row r="30" ht="36" customHeight="1">
      <c r="A30" s="15" t="n">
        <v>28</v>
      </c>
      <c r="B30" s="16" t="inlineStr">
        <is>
          <t>5.28</t>
        </is>
      </c>
      <c r="C30" s="17" t="inlineStr">
        <is>
          <t>Beweissicherung</t>
        </is>
      </c>
      <c r="D30" s="18" t="inlineStr">
        <is>
          <t>Organisatorisch</t>
        </is>
      </c>
      <c r="E30" s="19" t="inlineStr">
        <is>
          <t>Art.21(2)(b)</t>
        </is>
      </c>
      <c r="F30" s="10" t="inlineStr">
        <is>
          <t>Nicht umgesetzt</t>
        </is>
      </c>
      <c r="G30" s="20" t="n"/>
      <c r="H30" s="20" t="n"/>
      <c r="I30" s="20" t="n"/>
      <c r="J30" s="21" t="n"/>
      <c r="K30" s="20" t="n"/>
      <c r="L30" s="20" t="n"/>
    </row>
    <row r="31" ht="36" customHeight="1">
      <c r="A31" s="5" t="n">
        <v>29</v>
      </c>
      <c r="B31" s="6" t="inlineStr">
        <is>
          <t>5.29</t>
        </is>
      </c>
      <c r="C31" s="7" t="inlineStr">
        <is>
          <t>Informationssicherheit bei Betriebsunterbrechungen</t>
        </is>
      </c>
      <c r="D31" s="8" t="inlineStr">
        <is>
          <t>Organisatorisch</t>
        </is>
      </c>
      <c r="E31" s="9" t="inlineStr">
        <is>
          <t>Art.21(2)(c)</t>
        </is>
      </c>
      <c r="F31" s="10" t="inlineStr">
        <is>
          <t>Nicht umgesetzt</t>
        </is>
      </c>
      <c r="G31" s="11" t="n"/>
      <c r="H31" s="11" t="n"/>
      <c r="I31" s="11" t="n"/>
      <c r="J31" s="12" t="n"/>
      <c r="K31" s="11" t="n"/>
      <c r="L31" s="11" t="n"/>
    </row>
    <row r="32" ht="36" customHeight="1">
      <c r="A32" s="15" t="n">
        <v>30</v>
      </c>
      <c r="B32" s="16" t="inlineStr">
        <is>
          <t>5.30</t>
        </is>
      </c>
      <c r="C32" s="17" t="inlineStr">
        <is>
          <t>IKT-Bereitschaft für Business Continuity</t>
        </is>
      </c>
      <c r="D32" s="18" t="inlineStr">
        <is>
          <t>Organisatorisch</t>
        </is>
      </c>
      <c r="E32" s="19" t="inlineStr">
        <is>
          <t>Art.21(2)(c)</t>
        </is>
      </c>
      <c r="F32" s="10" t="inlineStr">
        <is>
          <t>Nicht umgesetzt</t>
        </is>
      </c>
      <c r="G32" s="20" t="n"/>
      <c r="H32" s="20" t="n"/>
      <c r="I32" s="20" t="n"/>
      <c r="J32" s="21" t="n"/>
      <c r="K32" s="20" t="n"/>
      <c r="L32" s="20" t="n"/>
    </row>
    <row r="33" ht="36" customHeight="1">
      <c r="A33" s="5" t="n">
        <v>31</v>
      </c>
      <c r="B33" s="6" t="inlineStr">
        <is>
          <t>5.31</t>
        </is>
      </c>
      <c r="C33" s="7" t="inlineStr">
        <is>
          <t>Gesetzliche und regulatorische Anforderungen</t>
        </is>
      </c>
      <c r="D33" s="8" t="inlineStr">
        <is>
          <t>Organisatorisch</t>
        </is>
      </c>
      <c r="E33" s="9" t="inlineStr">
        <is>
          <t>–</t>
        </is>
      </c>
      <c r="F33" s="10" t="inlineStr">
        <is>
          <t>Nicht umgesetzt</t>
        </is>
      </c>
      <c r="G33" s="11" t="n"/>
      <c r="H33" s="11" t="n"/>
      <c r="I33" s="11" t="n"/>
      <c r="J33" s="12" t="n"/>
      <c r="K33" s="11" t="n"/>
      <c r="L33" s="11" t="n"/>
    </row>
    <row r="34" ht="36" customHeight="1">
      <c r="A34" s="15" t="n">
        <v>32</v>
      </c>
      <c r="B34" s="16" t="inlineStr">
        <is>
          <t>5.32</t>
        </is>
      </c>
      <c r="C34" s="17" t="inlineStr">
        <is>
          <t>Rechte am geistigen Eigentum</t>
        </is>
      </c>
      <c r="D34" s="18" t="inlineStr">
        <is>
          <t>Organisatorisch</t>
        </is>
      </c>
      <c r="E34" s="19" t="inlineStr">
        <is>
          <t>–</t>
        </is>
      </c>
      <c r="F34" s="10" t="inlineStr">
        <is>
          <t>Nicht umgesetzt</t>
        </is>
      </c>
      <c r="G34" s="20" t="n"/>
      <c r="H34" s="20" t="n"/>
      <c r="I34" s="20" t="n"/>
      <c r="J34" s="21" t="n"/>
      <c r="K34" s="20" t="n"/>
      <c r="L34" s="20" t="n"/>
    </row>
    <row r="35" ht="36" customHeight="1">
      <c r="A35" s="5" t="n">
        <v>33</v>
      </c>
      <c r="B35" s="6" t="inlineStr">
        <is>
          <t>5.33</t>
        </is>
      </c>
      <c r="C35" s="7" t="inlineStr">
        <is>
          <t>Schutz von Aufzeichnungen</t>
        </is>
      </c>
      <c r="D35" s="8" t="inlineStr">
        <is>
          <t>Organisatorisch</t>
        </is>
      </c>
      <c r="E35" s="9" t="inlineStr">
        <is>
          <t>–</t>
        </is>
      </c>
      <c r="F35" s="10" t="inlineStr">
        <is>
          <t>Nicht umgesetzt</t>
        </is>
      </c>
      <c r="G35" s="11" t="n"/>
      <c r="H35" s="11" t="n"/>
      <c r="I35" s="11" t="n"/>
      <c r="J35" s="12" t="n"/>
      <c r="K35" s="11" t="n"/>
      <c r="L35" s="11" t="n"/>
    </row>
    <row r="36" ht="36" customHeight="1">
      <c r="A36" s="15" t="n">
        <v>34</v>
      </c>
      <c r="B36" s="16" t="inlineStr">
        <is>
          <t>5.34</t>
        </is>
      </c>
      <c r="C36" s="17" t="inlineStr">
        <is>
          <t>Datenschutz und Schutz personenbezogener Daten</t>
        </is>
      </c>
      <c r="D36" s="18" t="inlineStr">
        <is>
          <t>Organisatorisch</t>
        </is>
      </c>
      <c r="E36" s="19" t="inlineStr">
        <is>
          <t>–</t>
        </is>
      </c>
      <c r="F36" s="10" t="inlineStr">
        <is>
          <t>Nicht umgesetzt</t>
        </is>
      </c>
      <c r="G36" s="20" t="n"/>
      <c r="H36" s="20" t="n"/>
      <c r="I36" s="20" t="n"/>
      <c r="J36" s="21" t="n"/>
      <c r="K36" s="20" t="n"/>
      <c r="L36" s="20" t="n"/>
    </row>
    <row r="37" ht="36" customHeight="1">
      <c r="A37" s="5" t="n">
        <v>35</v>
      </c>
      <c r="B37" s="6" t="inlineStr">
        <is>
          <t>5.35</t>
        </is>
      </c>
      <c r="C37" s="7" t="inlineStr">
        <is>
          <t>Unabhängige Überprüfung der Informationssicherheit</t>
        </is>
      </c>
      <c r="D37" s="8" t="inlineStr">
        <is>
          <t>Organisatorisch</t>
        </is>
      </c>
      <c r="E37" s="9" t="inlineStr">
        <is>
          <t>Art.21(2)(f)</t>
        </is>
      </c>
      <c r="F37" s="10" t="inlineStr">
        <is>
          <t>Nicht umgesetzt</t>
        </is>
      </c>
      <c r="G37" s="11" t="n"/>
      <c r="H37" s="11" t="n"/>
      <c r="I37" s="11" t="n"/>
      <c r="J37" s="12" t="n"/>
      <c r="K37" s="11" t="n"/>
      <c r="L37" s="11" t="n"/>
    </row>
    <row r="38" ht="36" customHeight="1">
      <c r="A38" s="15" t="n">
        <v>36</v>
      </c>
      <c r="B38" s="16" t="inlineStr">
        <is>
          <t>5.36</t>
        </is>
      </c>
      <c r="C38" s="17" t="inlineStr">
        <is>
          <t>Einhaltung von Richtlinien und Standards</t>
        </is>
      </c>
      <c r="D38" s="18" t="inlineStr">
        <is>
          <t>Organisatorisch</t>
        </is>
      </c>
      <c r="E38" s="19" t="inlineStr">
        <is>
          <t>Art.21(2)(f)</t>
        </is>
      </c>
      <c r="F38" s="10" t="inlineStr">
        <is>
          <t>Nicht umgesetzt</t>
        </is>
      </c>
      <c r="G38" s="20" t="n"/>
      <c r="H38" s="20" t="n"/>
      <c r="I38" s="20" t="n"/>
      <c r="J38" s="21" t="n"/>
      <c r="K38" s="20" t="n"/>
      <c r="L38" s="20" t="n"/>
    </row>
    <row r="39" ht="36" customHeight="1">
      <c r="A39" s="5" t="n">
        <v>37</v>
      </c>
      <c r="B39" s="6" t="inlineStr">
        <is>
          <t>5.37</t>
        </is>
      </c>
      <c r="C39" s="7" t="inlineStr">
        <is>
          <t>Dokumentierte Betriebsverfahren</t>
        </is>
      </c>
      <c r="D39" s="8" t="inlineStr">
        <is>
          <t>Organisatorisch</t>
        </is>
      </c>
      <c r="E39" s="9" t="inlineStr">
        <is>
          <t>–</t>
        </is>
      </c>
      <c r="F39" s="10" t="inlineStr">
        <is>
          <t>Nicht umgesetzt</t>
        </is>
      </c>
      <c r="G39" s="11" t="n"/>
      <c r="H39" s="11" t="n"/>
      <c r="I39" s="11" t="n"/>
      <c r="J39" s="12" t="n"/>
      <c r="K39" s="11" t="n"/>
      <c r="L39" s="11" t="n"/>
    </row>
    <row r="40" ht="36" customHeight="1">
      <c r="A40" s="15" t="n">
        <v>38</v>
      </c>
      <c r="B40" s="16" t="inlineStr">
        <is>
          <t>6.1</t>
        </is>
      </c>
      <c r="C40" s="17" t="inlineStr">
        <is>
          <t>Überprüfung (Screening)</t>
        </is>
      </c>
      <c r="D40" s="18" t="inlineStr">
        <is>
          <t>Personell</t>
        </is>
      </c>
      <c r="E40" s="19" t="inlineStr">
        <is>
          <t>Art.21(2)(a); Art.21(2)(i)</t>
        </is>
      </c>
      <c r="F40" s="10" t="inlineStr">
        <is>
          <t>Nicht umgesetzt</t>
        </is>
      </c>
      <c r="G40" s="20" t="n"/>
      <c r="H40" s="20" t="n"/>
      <c r="I40" s="20" t="n"/>
      <c r="J40" s="21" t="n"/>
      <c r="K40" s="20" t="n"/>
      <c r="L40" s="20" t="n"/>
    </row>
    <row r="41" ht="36" customHeight="1">
      <c r="A41" s="5" t="n">
        <v>39</v>
      </c>
      <c r="B41" s="6" t="inlineStr">
        <is>
          <t>6.2</t>
        </is>
      </c>
      <c r="C41" s="7" t="inlineStr">
        <is>
          <t>Beschäftigungsbedingungen</t>
        </is>
      </c>
      <c r="D41" s="8" t="inlineStr">
        <is>
          <t>Personell</t>
        </is>
      </c>
      <c r="E41" s="9" t="inlineStr">
        <is>
          <t>Art.21(2)(i)</t>
        </is>
      </c>
      <c r="F41" s="10" t="inlineStr">
        <is>
          <t>Nicht umgesetzt</t>
        </is>
      </c>
      <c r="G41" s="11" t="n"/>
      <c r="H41" s="11" t="n"/>
      <c r="I41" s="11" t="n"/>
      <c r="J41" s="12" t="n"/>
      <c r="K41" s="11" t="n"/>
      <c r="L41" s="11" t="n"/>
    </row>
    <row r="42" ht="36" customHeight="1">
      <c r="A42" s="15" t="n">
        <v>40</v>
      </c>
      <c r="B42" s="16" t="inlineStr">
        <is>
          <t>6.3</t>
        </is>
      </c>
      <c r="C42" s="17" t="inlineStr">
        <is>
          <t>Schulung und Training zur Informationssicherheit</t>
        </is>
      </c>
      <c r="D42" s="18" t="inlineStr">
        <is>
          <t>Personell</t>
        </is>
      </c>
      <c r="E42" s="19" t="inlineStr">
        <is>
          <t>Art.21(2)(g)</t>
        </is>
      </c>
      <c r="F42" s="10" t="inlineStr">
        <is>
          <t>Nicht umgesetzt</t>
        </is>
      </c>
      <c r="G42" s="20" t="n"/>
      <c r="H42" s="20" t="n"/>
      <c r="I42" s="20" t="n"/>
      <c r="J42" s="21" t="n"/>
      <c r="K42" s="20" t="n"/>
      <c r="L42" s="20" t="n"/>
    </row>
    <row r="43" ht="36" customHeight="1">
      <c r="A43" s="5" t="n">
        <v>41</v>
      </c>
      <c r="B43" s="6" t="inlineStr">
        <is>
          <t>6.4</t>
        </is>
      </c>
      <c r="C43" s="7" t="inlineStr">
        <is>
          <t>Disziplinarverfahren</t>
        </is>
      </c>
      <c r="D43" s="8" t="inlineStr">
        <is>
          <t>Personell</t>
        </is>
      </c>
      <c r="E43" s="9" t="inlineStr">
        <is>
          <t>–</t>
        </is>
      </c>
      <c r="F43" s="10" t="inlineStr">
        <is>
          <t>Nicht umgesetzt</t>
        </is>
      </c>
      <c r="G43" s="11" t="n"/>
      <c r="H43" s="11" t="n"/>
      <c r="I43" s="11" t="n"/>
      <c r="J43" s="12" t="n"/>
      <c r="K43" s="11" t="n"/>
      <c r="L43" s="11" t="n"/>
    </row>
    <row r="44" ht="36" customHeight="1">
      <c r="A44" s="15" t="n">
        <v>42</v>
      </c>
      <c r="B44" s="16" t="inlineStr">
        <is>
          <t>6.5</t>
        </is>
      </c>
      <c r="C44" s="17" t="inlineStr">
        <is>
          <t>Verantwortlichkeiten nach Beschäftigungsende</t>
        </is>
      </c>
      <c r="D44" s="18" t="inlineStr">
        <is>
          <t>Personell</t>
        </is>
      </c>
      <c r="E44" s="19" t="inlineStr">
        <is>
          <t>Art.21(2)(i)</t>
        </is>
      </c>
      <c r="F44" s="10" t="inlineStr">
        <is>
          <t>Nicht umgesetzt</t>
        </is>
      </c>
      <c r="G44" s="20" t="n"/>
      <c r="H44" s="20" t="n"/>
      <c r="I44" s="20" t="n"/>
      <c r="J44" s="21" t="n"/>
      <c r="K44" s="20" t="n"/>
      <c r="L44" s="20" t="n"/>
    </row>
    <row r="45" ht="36" customHeight="1">
      <c r="A45" s="5" t="n">
        <v>43</v>
      </c>
      <c r="B45" s="6" t="inlineStr">
        <is>
          <t>6.6</t>
        </is>
      </c>
      <c r="C45" s="7" t="inlineStr">
        <is>
          <t>Vertraulichkeits- und Geheimhaltungsvereinbarungen</t>
        </is>
      </c>
      <c r="D45" s="8" t="inlineStr">
        <is>
          <t>Personell</t>
        </is>
      </c>
      <c r="E45" s="9" t="inlineStr">
        <is>
          <t>–</t>
        </is>
      </c>
      <c r="F45" s="10" t="inlineStr">
        <is>
          <t>Nicht umgesetzt</t>
        </is>
      </c>
      <c r="G45" s="11" t="n"/>
      <c r="H45" s="11" t="n"/>
      <c r="I45" s="11" t="n"/>
      <c r="J45" s="12" t="n"/>
      <c r="K45" s="11" t="n"/>
      <c r="L45" s="11" t="n"/>
    </row>
    <row r="46" ht="36" customHeight="1">
      <c r="A46" s="15" t="n">
        <v>44</v>
      </c>
      <c r="B46" s="16" t="inlineStr">
        <is>
          <t>6.7</t>
        </is>
      </c>
      <c r="C46" s="17" t="inlineStr">
        <is>
          <t>Fernarbeit</t>
        </is>
      </c>
      <c r="D46" s="18" t="inlineStr">
        <is>
          <t>Personell</t>
        </is>
      </c>
      <c r="E46" s="19" t="inlineStr">
        <is>
          <t>–</t>
        </is>
      </c>
      <c r="F46" s="10" t="inlineStr">
        <is>
          <t>Nicht umgesetzt</t>
        </is>
      </c>
      <c r="G46" s="20" t="n"/>
      <c r="H46" s="20" t="n"/>
      <c r="I46" s="20" t="n"/>
      <c r="J46" s="21" t="n"/>
      <c r="K46" s="20" t="n"/>
      <c r="L46" s="20" t="n"/>
    </row>
    <row r="47" ht="36" customHeight="1">
      <c r="A47" s="5" t="n">
        <v>45</v>
      </c>
      <c r="B47" s="6" t="inlineStr">
        <is>
          <t>6.8</t>
        </is>
      </c>
      <c r="C47" s="7" t="inlineStr">
        <is>
          <t>Meldung von Sicherheitsereignissen</t>
        </is>
      </c>
      <c r="D47" s="8" t="inlineStr">
        <is>
          <t>Personell</t>
        </is>
      </c>
      <c r="E47" s="9" t="inlineStr">
        <is>
          <t>Art.21(2)(g)</t>
        </is>
      </c>
      <c r="F47" s="10" t="inlineStr">
        <is>
          <t>Nicht umgesetzt</t>
        </is>
      </c>
      <c r="G47" s="11" t="n"/>
      <c r="H47" s="11" t="n"/>
      <c r="I47" s="11" t="n"/>
      <c r="J47" s="12" t="n"/>
      <c r="K47" s="11" t="n"/>
      <c r="L47" s="11" t="n"/>
    </row>
    <row r="48" ht="36" customHeight="1">
      <c r="A48" s="15" t="n">
        <v>46</v>
      </c>
      <c r="B48" s="16" t="inlineStr">
        <is>
          <t>7.1</t>
        </is>
      </c>
      <c r="C48" s="17" t="inlineStr">
        <is>
          <t>Physische Sicherheitsbereiche</t>
        </is>
      </c>
      <c r="D48" s="18" t="inlineStr">
        <is>
          <t>Physisch</t>
        </is>
      </c>
      <c r="E48" s="19" t="inlineStr">
        <is>
          <t>–</t>
        </is>
      </c>
      <c r="F48" s="10" t="inlineStr">
        <is>
          <t>Nicht umgesetzt</t>
        </is>
      </c>
      <c r="G48" s="20" t="n"/>
      <c r="H48" s="20" t="n"/>
      <c r="I48" s="20" t="n"/>
      <c r="J48" s="21" t="n"/>
      <c r="K48" s="20" t="n"/>
      <c r="L48" s="20" t="n"/>
    </row>
    <row r="49" ht="36" customHeight="1">
      <c r="A49" s="5" t="n">
        <v>47</v>
      </c>
      <c r="B49" s="6" t="inlineStr">
        <is>
          <t>7.2</t>
        </is>
      </c>
      <c r="C49" s="7" t="inlineStr">
        <is>
          <t>Physischer Zutritt</t>
        </is>
      </c>
      <c r="D49" s="8" t="inlineStr">
        <is>
          <t>Physisch</t>
        </is>
      </c>
      <c r="E49" s="9" t="inlineStr">
        <is>
          <t>–</t>
        </is>
      </c>
      <c r="F49" s="10" t="inlineStr">
        <is>
          <t>Nicht umgesetzt</t>
        </is>
      </c>
      <c r="G49" s="11" t="n"/>
      <c r="H49" s="11" t="n"/>
      <c r="I49" s="11" t="n"/>
      <c r="J49" s="12" t="n"/>
      <c r="K49" s="11" t="n"/>
      <c r="L49" s="11" t="n"/>
    </row>
    <row r="50" ht="36" customHeight="1">
      <c r="A50" s="15" t="n">
        <v>48</v>
      </c>
      <c r="B50" s="16" t="inlineStr">
        <is>
          <t>7.3</t>
        </is>
      </c>
      <c r="C50" s="17" t="inlineStr">
        <is>
          <t>Absicherung von Büros und Einrichtungen</t>
        </is>
      </c>
      <c r="D50" s="18" t="inlineStr">
        <is>
          <t>Physisch</t>
        </is>
      </c>
      <c r="E50" s="19" t="inlineStr">
        <is>
          <t>–</t>
        </is>
      </c>
      <c r="F50" s="10" t="inlineStr">
        <is>
          <t>Nicht umgesetzt</t>
        </is>
      </c>
      <c r="G50" s="20" t="n"/>
      <c r="H50" s="20" t="n"/>
      <c r="I50" s="20" t="n"/>
      <c r="J50" s="21" t="n"/>
      <c r="K50" s="20" t="n"/>
      <c r="L50" s="20" t="n"/>
    </row>
    <row r="51" ht="36" customHeight="1">
      <c r="A51" s="5" t="n">
        <v>49</v>
      </c>
      <c r="B51" s="6" t="inlineStr">
        <is>
          <t>7.4</t>
        </is>
      </c>
      <c r="C51" s="7" t="inlineStr">
        <is>
          <t>Physische Sicherheitsüberwachung</t>
        </is>
      </c>
      <c r="D51" s="8" t="inlineStr">
        <is>
          <t>Physisch</t>
        </is>
      </c>
      <c r="E51" s="9" t="inlineStr">
        <is>
          <t>–</t>
        </is>
      </c>
      <c r="F51" s="10" t="inlineStr">
        <is>
          <t>Nicht umgesetzt</t>
        </is>
      </c>
      <c r="G51" s="11" t="n"/>
      <c r="H51" s="11" t="n"/>
      <c r="I51" s="11" t="n"/>
      <c r="J51" s="12" t="n"/>
      <c r="K51" s="11" t="n"/>
      <c r="L51" s="11" t="n"/>
    </row>
    <row r="52" ht="36" customHeight="1">
      <c r="A52" s="15" t="n">
        <v>50</v>
      </c>
      <c r="B52" s="16" t="inlineStr">
        <is>
          <t>7.5</t>
        </is>
      </c>
      <c r="C52" s="17" t="inlineStr">
        <is>
          <t>Schutz vor physischen und Umweltbedrohungen</t>
        </is>
      </c>
      <c r="D52" s="18" t="inlineStr">
        <is>
          <t>Physisch</t>
        </is>
      </c>
      <c r="E52" s="19" t="inlineStr">
        <is>
          <t>–</t>
        </is>
      </c>
      <c r="F52" s="10" t="inlineStr">
        <is>
          <t>Nicht umgesetzt</t>
        </is>
      </c>
      <c r="G52" s="20" t="n"/>
      <c r="H52" s="20" t="n"/>
      <c r="I52" s="20" t="n"/>
      <c r="J52" s="21" t="n"/>
      <c r="K52" s="20" t="n"/>
      <c r="L52" s="20" t="n"/>
    </row>
    <row r="53" ht="36" customHeight="1">
      <c r="A53" s="5" t="n">
        <v>51</v>
      </c>
      <c r="B53" s="6" t="inlineStr">
        <is>
          <t>7.6</t>
        </is>
      </c>
      <c r="C53" s="7" t="inlineStr">
        <is>
          <t>Arbeiten in Sicherheitsbereichen</t>
        </is>
      </c>
      <c r="D53" s="8" t="inlineStr">
        <is>
          <t>Physisch</t>
        </is>
      </c>
      <c r="E53" s="9" t="inlineStr">
        <is>
          <t>–</t>
        </is>
      </c>
      <c r="F53" s="10" t="inlineStr">
        <is>
          <t>Nicht umgesetzt</t>
        </is>
      </c>
      <c r="G53" s="11" t="n"/>
      <c r="H53" s="11" t="n"/>
      <c r="I53" s="11" t="n"/>
      <c r="J53" s="12" t="n"/>
      <c r="K53" s="11" t="n"/>
      <c r="L53" s="11" t="n"/>
    </row>
    <row r="54" ht="36" customHeight="1">
      <c r="A54" s="15" t="n">
        <v>52</v>
      </c>
      <c r="B54" s="16" t="inlineStr">
        <is>
          <t>7.7</t>
        </is>
      </c>
      <c r="C54" s="17" t="inlineStr">
        <is>
          <t>Clear Desk und Clear Screen</t>
        </is>
      </c>
      <c r="D54" s="18" t="inlineStr">
        <is>
          <t>Physisch</t>
        </is>
      </c>
      <c r="E54" s="19" t="inlineStr">
        <is>
          <t>–</t>
        </is>
      </c>
      <c r="F54" s="10" t="inlineStr">
        <is>
          <t>Nicht umgesetzt</t>
        </is>
      </c>
      <c r="G54" s="20" t="n"/>
      <c r="H54" s="20" t="n"/>
      <c r="I54" s="20" t="n"/>
      <c r="J54" s="21" t="n"/>
      <c r="K54" s="20" t="n"/>
      <c r="L54" s="20" t="n"/>
    </row>
    <row r="55" ht="36" customHeight="1">
      <c r="A55" s="5" t="n">
        <v>53</v>
      </c>
      <c r="B55" s="6" t="inlineStr">
        <is>
          <t>7.8</t>
        </is>
      </c>
      <c r="C55" s="7" t="inlineStr">
        <is>
          <t>Aufstellung und Schutz von Geräten</t>
        </is>
      </c>
      <c r="D55" s="8" t="inlineStr">
        <is>
          <t>Physisch</t>
        </is>
      </c>
      <c r="E55" s="9" t="inlineStr">
        <is>
          <t>–</t>
        </is>
      </c>
      <c r="F55" s="10" t="inlineStr">
        <is>
          <t>Nicht umgesetzt</t>
        </is>
      </c>
      <c r="G55" s="11" t="n"/>
      <c r="H55" s="11" t="n"/>
      <c r="I55" s="11" t="n"/>
      <c r="J55" s="12" t="n"/>
      <c r="K55" s="11" t="n"/>
      <c r="L55" s="11" t="n"/>
    </row>
    <row r="56" ht="36" customHeight="1">
      <c r="A56" s="15" t="n">
        <v>54</v>
      </c>
      <c r="B56" s="16" t="inlineStr">
        <is>
          <t>7.9</t>
        </is>
      </c>
      <c r="C56" s="17" t="inlineStr">
        <is>
          <t>Sicherheit von Assets außerhalb des Geländes</t>
        </is>
      </c>
      <c r="D56" s="18" t="inlineStr">
        <is>
          <t>Physisch</t>
        </is>
      </c>
      <c r="E56" s="19" t="inlineStr">
        <is>
          <t>–</t>
        </is>
      </c>
      <c r="F56" s="10" t="inlineStr">
        <is>
          <t>Nicht umgesetzt</t>
        </is>
      </c>
      <c r="G56" s="20" t="n"/>
      <c r="H56" s="20" t="n"/>
      <c r="I56" s="20" t="n"/>
      <c r="J56" s="21" t="n"/>
      <c r="K56" s="20" t="n"/>
      <c r="L56" s="20" t="n"/>
    </row>
    <row r="57" ht="36" customHeight="1">
      <c r="A57" s="5" t="n">
        <v>55</v>
      </c>
      <c r="B57" s="6" t="inlineStr">
        <is>
          <t>7.10</t>
        </is>
      </c>
      <c r="C57" s="7" t="inlineStr">
        <is>
          <t>Speichermedien</t>
        </is>
      </c>
      <c r="D57" s="8" t="inlineStr">
        <is>
          <t>Physisch</t>
        </is>
      </c>
      <c r="E57" s="9" t="inlineStr">
        <is>
          <t>–</t>
        </is>
      </c>
      <c r="F57" s="10" t="inlineStr">
        <is>
          <t>Nicht umgesetzt</t>
        </is>
      </c>
      <c r="G57" s="11" t="n"/>
      <c r="H57" s="11" t="n"/>
      <c r="I57" s="11" t="n"/>
      <c r="J57" s="12" t="n"/>
      <c r="K57" s="11" t="n"/>
      <c r="L57" s="11" t="n"/>
    </row>
    <row r="58" ht="36" customHeight="1">
      <c r="A58" s="15" t="n">
        <v>56</v>
      </c>
      <c r="B58" s="16" t="inlineStr">
        <is>
          <t>7.11</t>
        </is>
      </c>
      <c r="C58" s="17" t="inlineStr">
        <is>
          <t>Versorgungseinrichtungen</t>
        </is>
      </c>
      <c r="D58" s="18" t="inlineStr">
        <is>
          <t>Physisch</t>
        </is>
      </c>
      <c r="E58" s="19" t="inlineStr">
        <is>
          <t>–</t>
        </is>
      </c>
      <c r="F58" s="10" t="inlineStr">
        <is>
          <t>Nicht umgesetzt</t>
        </is>
      </c>
      <c r="G58" s="20" t="n"/>
      <c r="H58" s="20" t="n"/>
      <c r="I58" s="20" t="n"/>
      <c r="J58" s="21" t="n"/>
      <c r="K58" s="20" t="n"/>
      <c r="L58" s="20" t="n"/>
    </row>
    <row r="59" ht="36" customHeight="1">
      <c r="A59" s="5" t="n">
        <v>57</v>
      </c>
      <c r="B59" s="6" t="inlineStr">
        <is>
          <t>7.12</t>
        </is>
      </c>
      <c r="C59" s="7" t="inlineStr">
        <is>
          <t>Verkabelungssicherheit</t>
        </is>
      </c>
      <c r="D59" s="8" t="inlineStr">
        <is>
          <t>Physisch</t>
        </is>
      </c>
      <c r="E59" s="9" t="inlineStr">
        <is>
          <t>–</t>
        </is>
      </c>
      <c r="F59" s="10" t="inlineStr">
        <is>
          <t>Nicht umgesetzt</t>
        </is>
      </c>
      <c r="G59" s="11" t="n"/>
      <c r="H59" s="11" t="n"/>
      <c r="I59" s="11" t="n"/>
      <c r="J59" s="12" t="n"/>
      <c r="K59" s="11" t="n"/>
      <c r="L59" s="11" t="n"/>
    </row>
    <row r="60" ht="36" customHeight="1">
      <c r="A60" s="15" t="n">
        <v>58</v>
      </c>
      <c r="B60" s="16" t="inlineStr">
        <is>
          <t>7.13</t>
        </is>
      </c>
      <c r="C60" s="17" t="inlineStr">
        <is>
          <t>Gerätewartung</t>
        </is>
      </c>
      <c r="D60" s="18" t="inlineStr">
        <is>
          <t>Physisch</t>
        </is>
      </c>
      <c r="E60" s="19" t="inlineStr">
        <is>
          <t>–</t>
        </is>
      </c>
      <c r="F60" s="10" t="inlineStr">
        <is>
          <t>Nicht umgesetzt</t>
        </is>
      </c>
      <c r="G60" s="20" t="n"/>
      <c r="H60" s="20" t="n"/>
      <c r="I60" s="20" t="n"/>
      <c r="J60" s="21" t="n"/>
      <c r="K60" s="20" t="n"/>
      <c r="L60" s="20" t="n"/>
    </row>
    <row r="61" ht="36" customHeight="1">
      <c r="A61" s="5" t="n">
        <v>59</v>
      </c>
      <c r="B61" s="6" t="inlineStr">
        <is>
          <t>7.14</t>
        </is>
      </c>
      <c r="C61" s="7" t="inlineStr">
        <is>
          <t>Sichere Entsorgung oder Wiederverwendung von Geräten</t>
        </is>
      </c>
      <c r="D61" s="8" t="inlineStr">
        <is>
          <t>Physisch</t>
        </is>
      </c>
      <c r="E61" s="9" t="inlineStr">
        <is>
          <t>–</t>
        </is>
      </c>
      <c r="F61" s="10" t="inlineStr">
        <is>
          <t>Nicht umgesetzt</t>
        </is>
      </c>
      <c r="G61" s="11" t="n"/>
      <c r="H61" s="11" t="n"/>
      <c r="I61" s="11" t="n"/>
      <c r="J61" s="12" t="n"/>
      <c r="K61" s="11" t="n"/>
      <c r="L61" s="11" t="n"/>
    </row>
    <row r="62" ht="36" customHeight="1">
      <c r="A62" s="15" t="n">
        <v>60</v>
      </c>
      <c r="B62" s="16" t="inlineStr">
        <is>
          <t>8.1</t>
        </is>
      </c>
      <c r="C62" s="17" t="inlineStr">
        <is>
          <t>Benutzerendgeräte</t>
        </is>
      </c>
      <c r="D62" s="18" t="inlineStr">
        <is>
          <t>Technisch</t>
        </is>
      </c>
      <c r="E62" s="19" t="inlineStr">
        <is>
          <t>–</t>
        </is>
      </c>
      <c r="F62" s="10" t="inlineStr">
        <is>
          <t>Nicht umgesetzt</t>
        </is>
      </c>
      <c r="G62" s="20" t="n"/>
      <c r="H62" s="20" t="n"/>
      <c r="I62" s="20" t="n"/>
      <c r="J62" s="21" t="n"/>
      <c r="K62" s="20" t="n"/>
      <c r="L62" s="20" t="n"/>
    </row>
    <row r="63" ht="36" customHeight="1">
      <c r="A63" s="5" t="n">
        <v>61</v>
      </c>
      <c r="B63" s="6" t="inlineStr">
        <is>
          <t>8.2</t>
        </is>
      </c>
      <c r="C63" s="7" t="inlineStr">
        <is>
          <t>Privilegierte Zugriffsrechte</t>
        </is>
      </c>
      <c r="D63" s="8" t="inlineStr">
        <is>
          <t>Technisch</t>
        </is>
      </c>
      <c r="E63" s="9" t="inlineStr">
        <is>
          <t>Art.21(2)(a); Art.21(2)(i)</t>
        </is>
      </c>
      <c r="F63" s="10" t="inlineStr">
        <is>
          <t>Nicht umgesetzt</t>
        </is>
      </c>
      <c r="G63" s="11" t="n"/>
      <c r="H63" s="11" t="n"/>
      <c r="I63" s="11" t="n"/>
      <c r="J63" s="12" t="n"/>
      <c r="K63" s="11" t="n"/>
      <c r="L63" s="11" t="n"/>
    </row>
    <row r="64" ht="36" customHeight="1">
      <c r="A64" s="15" t="n">
        <v>62</v>
      </c>
      <c r="B64" s="16" t="inlineStr">
        <is>
          <t>8.3</t>
        </is>
      </c>
      <c r="C64" s="17" t="inlineStr">
        <is>
          <t>Einschränkung des Informationszugriffs</t>
        </is>
      </c>
      <c r="D64" s="18" t="inlineStr">
        <is>
          <t>Technisch</t>
        </is>
      </c>
      <c r="E64" s="19" t="inlineStr">
        <is>
          <t>Art.21(2)(a)</t>
        </is>
      </c>
      <c r="F64" s="10" t="inlineStr">
        <is>
          <t>Nicht umgesetzt</t>
        </is>
      </c>
      <c r="G64" s="20" t="n"/>
      <c r="H64" s="20" t="n"/>
      <c r="I64" s="20" t="n"/>
      <c r="J64" s="21" t="n"/>
      <c r="K64" s="20" t="n"/>
      <c r="L64" s="20" t="n"/>
    </row>
    <row r="65" ht="36" customHeight="1">
      <c r="A65" s="5" t="n">
        <v>63</v>
      </c>
      <c r="B65" s="6" t="inlineStr">
        <is>
          <t>8.4</t>
        </is>
      </c>
      <c r="C65" s="7" t="inlineStr">
        <is>
          <t>Zugang zum Quellcode</t>
        </is>
      </c>
      <c r="D65" s="8" t="inlineStr">
        <is>
          <t>Technisch</t>
        </is>
      </c>
      <c r="E65" s="9" t="inlineStr">
        <is>
          <t>–</t>
        </is>
      </c>
      <c r="F65" s="10" t="inlineStr">
        <is>
          <t>Nicht umgesetzt</t>
        </is>
      </c>
      <c r="G65" s="11" t="n"/>
      <c r="H65" s="11" t="n"/>
      <c r="I65" s="11" t="n"/>
      <c r="J65" s="12" t="n"/>
      <c r="K65" s="11" t="n"/>
      <c r="L65" s="11" t="n"/>
    </row>
    <row r="66" ht="36" customHeight="1">
      <c r="A66" s="15" t="n">
        <v>64</v>
      </c>
      <c r="B66" s="16" t="inlineStr">
        <is>
          <t>8.5</t>
        </is>
      </c>
      <c r="C66" s="17" t="inlineStr">
        <is>
          <t>Sichere Authentifizierung</t>
        </is>
      </c>
      <c r="D66" s="18" t="inlineStr">
        <is>
          <t>Technisch</t>
        </is>
      </c>
      <c r="E66" s="19" t="inlineStr">
        <is>
          <t>Art.21(2)(i); Art.21(2)(j)</t>
        </is>
      </c>
      <c r="F66" s="10" t="inlineStr">
        <is>
          <t>Nicht umgesetzt</t>
        </is>
      </c>
      <c r="G66" s="20" t="n"/>
      <c r="H66" s="20" t="n"/>
      <c r="I66" s="20" t="n"/>
      <c r="J66" s="21" t="n"/>
      <c r="K66" s="20" t="n"/>
      <c r="L66" s="20" t="n"/>
    </row>
    <row r="67" ht="36" customHeight="1">
      <c r="A67" s="5" t="n">
        <v>65</v>
      </c>
      <c r="B67" s="6" t="inlineStr">
        <is>
          <t>8.6</t>
        </is>
      </c>
      <c r="C67" s="7" t="inlineStr">
        <is>
          <t>Kapazitätsmanagement</t>
        </is>
      </c>
      <c r="D67" s="8" t="inlineStr">
        <is>
          <t>Technisch</t>
        </is>
      </c>
      <c r="E67" s="9" t="inlineStr">
        <is>
          <t>–</t>
        </is>
      </c>
      <c r="F67" s="10" t="inlineStr">
        <is>
          <t>Nicht umgesetzt</t>
        </is>
      </c>
      <c r="G67" s="11" t="n"/>
      <c r="H67" s="11" t="n"/>
      <c r="I67" s="11" t="n"/>
      <c r="J67" s="12" t="n"/>
      <c r="K67" s="11" t="n"/>
      <c r="L67" s="11" t="n"/>
    </row>
    <row r="68" ht="36" customHeight="1">
      <c r="A68" s="15" t="n">
        <v>66</v>
      </c>
      <c r="B68" s="16" t="inlineStr">
        <is>
          <t>8.7</t>
        </is>
      </c>
      <c r="C68" s="17" t="inlineStr">
        <is>
          <t>Schutz vor Schadsoftware</t>
        </is>
      </c>
      <c r="D68" s="18" t="inlineStr">
        <is>
          <t>Technisch</t>
        </is>
      </c>
      <c r="E68" s="19" t="inlineStr">
        <is>
          <t>–</t>
        </is>
      </c>
      <c r="F68" s="10" t="inlineStr">
        <is>
          <t>Nicht umgesetzt</t>
        </is>
      </c>
      <c r="G68" s="20" t="n"/>
      <c r="H68" s="20" t="n"/>
      <c r="I68" s="20" t="n"/>
      <c r="J68" s="21" t="n"/>
      <c r="K68" s="20" t="n"/>
      <c r="L68" s="20" t="n"/>
    </row>
    <row r="69" ht="36" customHeight="1">
      <c r="A69" s="5" t="n">
        <v>67</v>
      </c>
      <c r="B69" s="6" t="inlineStr">
        <is>
          <t>8.8</t>
        </is>
      </c>
      <c r="C69" s="7" t="inlineStr">
        <is>
          <t>Management technischer Schwachstellen</t>
        </is>
      </c>
      <c r="D69" s="8" t="inlineStr">
        <is>
          <t>Technisch</t>
        </is>
      </c>
      <c r="E69" s="9" t="inlineStr">
        <is>
          <t>Art.21(2)(f)</t>
        </is>
      </c>
      <c r="F69" s="10" t="inlineStr">
        <is>
          <t>Nicht umgesetzt</t>
        </is>
      </c>
      <c r="G69" s="11" t="n"/>
      <c r="H69" s="11" t="n"/>
      <c r="I69" s="11" t="n"/>
      <c r="J69" s="12" t="n"/>
      <c r="K69" s="11" t="n"/>
      <c r="L69" s="11" t="n"/>
    </row>
    <row r="70" ht="36" customHeight="1">
      <c r="A70" s="15" t="n">
        <v>68</v>
      </c>
      <c r="B70" s="16" t="inlineStr">
        <is>
          <t>8.9</t>
        </is>
      </c>
      <c r="C70" s="17" t="inlineStr">
        <is>
          <t>Konfigurationsmanagement</t>
        </is>
      </c>
      <c r="D70" s="18" t="inlineStr">
        <is>
          <t>Technisch</t>
        </is>
      </c>
      <c r="E70" s="19" t="inlineStr">
        <is>
          <t>–</t>
        </is>
      </c>
      <c r="F70" s="10" t="inlineStr">
        <is>
          <t>Nicht umgesetzt</t>
        </is>
      </c>
      <c r="G70" s="20" t="n"/>
      <c r="H70" s="20" t="n"/>
      <c r="I70" s="20" t="n"/>
      <c r="J70" s="21" t="n"/>
      <c r="K70" s="20" t="n"/>
      <c r="L70" s="20" t="n"/>
    </row>
    <row r="71" ht="36" customHeight="1">
      <c r="A71" s="5" t="n">
        <v>69</v>
      </c>
      <c r="B71" s="6" t="inlineStr">
        <is>
          <t>8.10</t>
        </is>
      </c>
      <c r="C71" s="7" t="inlineStr">
        <is>
          <t>Löschung von Informationen</t>
        </is>
      </c>
      <c r="D71" s="8" t="inlineStr">
        <is>
          <t>Technisch</t>
        </is>
      </c>
      <c r="E71" s="9" t="inlineStr">
        <is>
          <t>–</t>
        </is>
      </c>
      <c r="F71" s="10" t="inlineStr">
        <is>
          <t>Nicht umgesetzt</t>
        </is>
      </c>
      <c r="G71" s="11" t="n"/>
      <c r="H71" s="11" t="n"/>
      <c r="I71" s="11" t="n"/>
      <c r="J71" s="12" t="n"/>
      <c r="K71" s="11" t="n"/>
      <c r="L71" s="11" t="n"/>
    </row>
    <row r="72" ht="36" customHeight="1">
      <c r="A72" s="15" t="n">
        <v>70</v>
      </c>
      <c r="B72" s="16" t="inlineStr">
        <is>
          <t>8.11</t>
        </is>
      </c>
      <c r="C72" s="17" t="inlineStr">
        <is>
          <t>Datenmaskierung</t>
        </is>
      </c>
      <c r="D72" s="18" t="inlineStr">
        <is>
          <t>Technisch</t>
        </is>
      </c>
      <c r="E72" s="19" t="inlineStr">
        <is>
          <t>–</t>
        </is>
      </c>
      <c r="F72" s="10" t="inlineStr">
        <is>
          <t>Nicht umgesetzt</t>
        </is>
      </c>
      <c r="G72" s="20" t="n"/>
      <c r="H72" s="20" t="n"/>
      <c r="I72" s="20" t="n"/>
      <c r="J72" s="21" t="n"/>
      <c r="K72" s="20" t="n"/>
      <c r="L72" s="20" t="n"/>
    </row>
    <row r="73" ht="36" customHeight="1">
      <c r="A73" s="5" t="n">
        <v>71</v>
      </c>
      <c r="B73" s="6" t="inlineStr">
        <is>
          <t>8.12</t>
        </is>
      </c>
      <c r="C73" s="7" t="inlineStr">
        <is>
          <t>Verhinderung von Datenlecks (DLP)</t>
        </is>
      </c>
      <c r="D73" s="8" t="inlineStr">
        <is>
          <t>Technisch</t>
        </is>
      </c>
      <c r="E73" s="9" t="inlineStr">
        <is>
          <t>–</t>
        </is>
      </c>
      <c r="F73" s="10" t="inlineStr">
        <is>
          <t>Nicht umgesetzt</t>
        </is>
      </c>
      <c r="G73" s="11" t="n"/>
      <c r="H73" s="11" t="n"/>
      <c r="I73" s="11" t="n"/>
      <c r="J73" s="12" t="n"/>
      <c r="K73" s="11" t="n"/>
      <c r="L73" s="11" t="n"/>
    </row>
    <row r="74" ht="36" customHeight="1">
      <c r="A74" s="15" t="n">
        <v>72</v>
      </c>
      <c r="B74" s="16" t="inlineStr">
        <is>
          <t>8.13</t>
        </is>
      </c>
      <c r="C74" s="17" t="inlineStr">
        <is>
          <t>Informations-Backup</t>
        </is>
      </c>
      <c r="D74" s="18" t="inlineStr">
        <is>
          <t>Technisch</t>
        </is>
      </c>
      <c r="E74" s="19" t="inlineStr">
        <is>
          <t>Art.21(2)(c)</t>
        </is>
      </c>
      <c r="F74" s="10" t="inlineStr">
        <is>
          <t>Nicht umgesetzt</t>
        </is>
      </c>
      <c r="G74" s="20" t="n"/>
      <c r="H74" s="20" t="n"/>
      <c r="I74" s="20" t="n"/>
      <c r="J74" s="21" t="n"/>
      <c r="K74" s="20" t="n"/>
      <c r="L74" s="20" t="n"/>
    </row>
    <row r="75" ht="36" customHeight="1">
      <c r="A75" s="5" t="n">
        <v>73</v>
      </c>
      <c r="B75" s="6" t="inlineStr">
        <is>
          <t>8.14</t>
        </is>
      </c>
      <c r="C75" s="7" t="inlineStr">
        <is>
          <t>Redundanz von Informationsverarbeitungseinrichtungen</t>
        </is>
      </c>
      <c r="D75" s="8" t="inlineStr">
        <is>
          <t>Technisch</t>
        </is>
      </c>
      <c r="E75" s="9" t="inlineStr">
        <is>
          <t>Art.21(2)(c)</t>
        </is>
      </c>
      <c r="F75" s="10" t="inlineStr">
        <is>
          <t>Nicht umgesetzt</t>
        </is>
      </c>
      <c r="G75" s="11" t="n"/>
      <c r="H75" s="11" t="n"/>
      <c r="I75" s="11" t="n"/>
      <c r="J75" s="12" t="n"/>
      <c r="K75" s="11" t="n"/>
      <c r="L75" s="11" t="n"/>
    </row>
    <row r="76" ht="36" customHeight="1">
      <c r="A76" s="15" t="n">
        <v>74</v>
      </c>
      <c r="B76" s="16" t="inlineStr">
        <is>
          <t>8.15</t>
        </is>
      </c>
      <c r="C76" s="17" t="inlineStr">
        <is>
          <t>Protokollierung</t>
        </is>
      </c>
      <c r="D76" s="18" t="inlineStr">
        <is>
          <t>Technisch</t>
        </is>
      </c>
      <c r="E76" s="19" t="inlineStr">
        <is>
          <t>–</t>
        </is>
      </c>
      <c r="F76" s="10" t="inlineStr">
        <is>
          <t>Nicht umgesetzt</t>
        </is>
      </c>
      <c r="G76" s="20" t="n"/>
      <c r="H76" s="20" t="n"/>
      <c r="I76" s="20" t="n"/>
      <c r="J76" s="21" t="n"/>
      <c r="K76" s="20" t="n"/>
      <c r="L76" s="20" t="n"/>
    </row>
    <row r="77" ht="36" customHeight="1">
      <c r="A77" s="5" t="n">
        <v>75</v>
      </c>
      <c r="B77" s="6" t="inlineStr">
        <is>
          <t>8.16</t>
        </is>
      </c>
      <c r="C77" s="7" t="inlineStr">
        <is>
          <t>Überwachungsaktivitäten</t>
        </is>
      </c>
      <c r="D77" s="8" t="inlineStr">
        <is>
          <t>Technisch</t>
        </is>
      </c>
      <c r="E77" s="9" t="inlineStr">
        <is>
          <t>–</t>
        </is>
      </c>
      <c r="F77" s="10" t="inlineStr">
        <is>
          <t>Nicht umgesetzt</t>
        </is>
      </c>
      <c r="G77" s="11" t="n"/>
      <c r="H77" s="11" t="n"/>
      <c r="I77" s="11" t="n"/>
      <c r="J77" s="12" t="n"/>
      <c r="K77" s="11" t="n"/>
      <c r="L77" s="11" t="n"/>
    </row>
    <row r="78" ht="36" customHeight="1">
      <c r="A78" s="15" t="n">
        <v>76</v>
      </c>
      <c r="B78" s="16" t="inlineStr">
        <is>
          <t>8.17</t>
        </is>
      </c>
      <c r="C78" s="17" t="inlineStr">
        <is>
          <t>Zeitsynchronisation</t>
        </is>
      </c>
      <c r="D78" s="18" t="inlineStr">
        <is>
          <t>Technisch</t>
        </is>
      </c>
      <c r="E78" s="19" t="inlineStr">
        <is>
          <t>–</t>
        </is>
      </c>
      <c r="F78" s="10" t="inlineStr">
        <is>
          <t>Nicht umgesetzt</t>
        </is>
      </c>
      <c r="G78" s="20" t="n"/>
      <c r="H78" s="20" t="n"/>
      <c r="I78" s="20" t="n"/>
      <c r="J78" s="21" t="n"/>
      <c r="K78" s="20" t="n"/>
      <c r="L78" s="20" t="n"/>
    </row>
    <row r="79" ht="36" customHeight="1">
      <c r="A79" s="5" t="n">
        <v>77</v>
      </c>
      <c r="B79" s="6" t="inlineStr">
        <is>
          <t>8.18</t>
        </is>
      </c>
      <c r="C79" s="7" t="inlineStr">
        <is>
          <t>Nutzung privilegierter Hilfsprogramme</t>
        </is>
      </c>
      <c r="D79" s="8" t="inlineStr">
        <is>
          <t>Technisch</t>
        </is>
      </c>
      <c r="E79" s="9" t="inlineStr">
        <is>
          <t>–</t>
        </is>
      </c>
      <c r="F79" s="10" t="inlineStr">
        <is>
          <t>Nicht umgesetzt</t>
        </is>
      </c>
      <c r="G79" s="11" t="n"/>
      <c r="H79" s="11" t="n"/>
      <c r="I79" s="11" t="n"/>
      <c r="J79" s="12" t="n"/>
      <c r="K79" s="11" t="n"/>
      <c r="L79" s="11" t="n"/>
    </row>
    <row r="80" ht="36" customHeight="1">
      <c r="A80" s="15" t="n">
        <v>78</v>
      </c>
      <c r="B80" s="16" t="inlineStr">
        <is>
          <t>8.19</t>
        </is>
      </c>
      <c r="C80" s="17" t="inlineStr">
        <is>
          <t>Installation von Software auf Betriebssystemen</t>
        </is>
      </c>
      <c r="D80" s="18" t="inlineStr">
        <is>
          <t>Technisch</t>
        </is>
      </c>
      <c r="E80" s="19" t="inlineStr">
        <is>
          <t>–</t>
        </is>
      </c>
      <c r="F80" s="10" t="inlineStr">
        <is>
          <t>Nicht umgesetzt</t>
        </is>
      </c>
      <c r="G80" s="20" t="n"/>
      <c r="H80" s="20" t="n"/>
      <c r="I80" s="20" t="n"/>
      <c r="J80" s="21" t="n"/>
      <c r="K80" s="20" t="n"/>
      <c r="L80" s="20" t="n"/>
    </row>
    <row r="81" ht="36" customHeight="1">
      <c r="A81" s="5" t="n">
        <v>79</v>
      </c>
      <c r="B81" s="6" t="inlineStr">
        <is>
          <t>8.20</t>
        </is>
      </c>
      <c r="C81" s="7" t="inlineStr">
        <is>
          <t>Netzwerksicherheit</t>
        </is>
      </c>
      <c r="D81" s="8" t="inlineStr">
        <is>
          <t>Technisch</t>
        </is>
      </c>
      <c r="E81" s="9" t="inlineStr">
        <is>
          <t>Art.21(2)(j)</t>
        </is>
      </c>
      <c r="F81" s="10" t="inlineStr">
        <is>
          <t>Nicht umgesetzt</t>
        </is>
      </c>
      <c r="G81" s="11" t="n"/>
      <c r="H81" s="11" t="n"/>
      <c r="I81" s="11" t="n"/>
      <c r="J81" s="12" t="n"/>
      <c r="K81" s="11" t="n"/>
      <c r="L81" s="11" t="n"/>
    </row>
    <row r="82" ht="36" customHeight="1">
      <c r="A82" s="15" t="n">
        <v>80</v>
      </c>
      <c r="B82" s="16" t="inlineStr">
        <is>
          <t>8.21</t>
        </is>
      </c>
      <c r="C82" s="17" t="inlineStr">
        <is>
          <t>Sicherheit von Netzwerkdiensten</t>
        </is>
      </c>
      <c r="D82" s="18" t="inlineStr">
        <is>
          <t>Technisch</t>
        </is>
      </c>
      <c r="E82" s="19" t="inlineStr">
        <is>
          <t>–</t>
        </is>
      </c>
      <c r="F82" s="10" t="inlineStr">
        <is>
          <t>Nicht umgesetzt</t>
        </is>
      </c>
      <c r="G82" s="20" t="n"/>
      <c r="H82" s="20" t="n"/>
      <c r="I82" s="20" t="n"/>
      <c r="J82" s="21" t="n"/>
      <c r="K82" s="20" t="n"/>
      <c r="L82" s="20" t="n"/>
    </row>
    <row r="83" ht="36" customHeight="1">
      <c r="A83" s="5" t="n">
        <v>81</v>
      </c>
      <c r="B83" s="6" t="inlineStr">
        <is>
          <t>8.22</t>
        </is>
      </c>
      <c r="C83" s="7" t="inlineStr">
        <is>
          <t>Netzwerksegmentierung</t>
        </is>
      </c>
      <c r="D83" s="8" t="inlineStr">
        <is>
          <t>Technisch</t>
        </is>
      </c>
      <c r="E83" s="9" t="inlineStr">
        <is>
          <t>–</t>
        </is>
      </c>
      <c r="F83" s="10" t="inlineStr">
        <is>
          <t>Nicht umgesetzt</t>
        </is>
      </c>
      <c r="G83" s="11" t="n"/>
      <c r="H83" s="11" t="n"/>
      <c r="I83" s="11" t="n"/>
      <c r="J83" s="12" t="n"/>
      <c r="K83" s="11" t="n"/>
      <c r="L83" s="11" t="n"/>
    </row>
    <row r="84" ht="36" customHeight="1">
      <c r="A84" s="15" t="n">
        <v>82</v>
      </c>
      <c r="B84" s="16" t="inlineStr">
        <is>
          <t>8.23</t>
        </is>
      </c>
      <c r="C84" s="17" t="inlineStr">
        <is>
          <t>Web-Filterung</t>
        </is>
      </c>
      <c r="D84" s="18" t="inlineStr">
        <is>
          <t>Technisch</t>
        </is>
      </c>
      <c r="E84" s="19" t="inlineStr">
        <is>
          <t>–</t>
        </is>
      </c>
      <c r="F84" s="10" t="inlineStr">
        <is>
          <t>Nicht umgesetzt</t>
        </is>
      </c>
      <c r="G84" s="20" t="n"/>
      <c r="H84" s="20" t="n"/>
      <c r="I84" s="20" t="n"/>
      <c r="J84" s="21" t="n"/>
      <c r="K84" s="20" t="n"/>
      <c r="L84" s="20" t="n"/>
    </row>
    <row r="85" ht="36" customHeight="1">
      <c r="A85" s="5" t="n">
        <v>83</v>
      </c>
      <c r="B85" s="6" t="inlineStr">
        <is>
          <t>8.24</t>
        </is>
      </c>
      <c r="C85" s="7" t="inlineStr">
        <is>
          <t>Kryptographie</t>
        </is>
      </c>
      <c r="D85" s="8" t="inlineStr">
        <is>
          <t>Technisch</t>
        </is>
      </c>
      <c r="E85" s="9" t="inlineStr">
        <is>
          <t>Art.21(2)(h)</t>
        </is>
      </c>
      <c r="F85" s="10" t="inlineStr">
        <is>
          <t>Nicht umgesetzt</t>
        </is>
      </c>
      <c r="G85" s="11" t="n"/>
      <c r="H85" s="11" t="n"/>
      <c r="I85" s="11" t="n"/>
      <c r="J85" s="12" t="n"/>
      <c r="K85" s="11" t="n"/>
      <c r="L85" s="11" t="n"/>
    </row>
    <row r="86" ht="36" customHeight="1">
      <c r="A86" s="15" t="n">
        <v>84</v>
      </c>
      <c r="B86" s="16" t="inlineStr">
        <is>
          <t>8.25</t>
        </is>
      </c>
      <c r="C86" s="17" t="inlineStr">
        <is>
          <t>Sicherer Entwicklungslebenszyklus</t>
        </is>
      </c>
      <c r="D86" s="18" t="inlineStr">
        <is>
          <t>Technisch</t>
        </is>
      </c>
      <c r="E86" s="19" t="inlineStr">
        <is>
          <t>Art.21(2)(e)</t>
        </is>
      </c>
      <c r="F86" s="10" t="inlineStr">
        <is>
          <t>Nicht umgesetzt</t>
        </is>
      </c>
      <c r="G86" s="20" t="n"/>
      <c r="H86" s="20" t="n"/>
      <c r="I86" s="20" t="n"/>
      <c r="J86" s="21" t="n"/>
      <c r="K86" s="20" t="n"/>
      <c r="L86" s="20" t="n"/>
    </row>
    <row r="87" ht="36" customHeight="1">
      <c r="A87" s="5" t="n">
        <v>85</v>
      </c>
      <c r="B87" s="6" t="inlineStr">
        <is>
          <t>8.26</t>
        </is>
      </c>
      <c r="C87" s="7" t="inlineStr">
        <is>
          <t>Anforderungen an die Anwendungssicherheit</t>
        </is>
      </c>
      <c r="D87" s="8" t="inlineStr">
        <is>
          <t>Technisch</t>
        </is>
      </c>
      <c r="E87" s="9" t="inlineStr">
        <is>
          <t>Art.21(2)(e)</t>
        </is>
      </c>
      <c r="F87" s="10" t="inlineStr">
        <is>
          <t>Nicht umgesetzt</t>
        </is>
      </c>
      <c r="G87" s="11" t="n"/>
      <c r="H87" s="11" t="n"/>
      <c r="I87" s="11" t="n"/>
      <c r="J87" s="12" t="n"/>
      <c r="K87" s="11" t="n"/>
      <c r="L87" s="11" t="n"/>
    </row>
    <row r="88" ht="36" customHeight="1">
      <c r="A88" s="15" t="n">
        <v>86</v>
      </c>
      <c r="B88" s="16" t="inlineStr">
        <is>
          <t>8.27</t>
        </is>
      </c>
      <c r="C88" s="17" t="inlineStr">
        <is>
          <t>Sichere System-Architektur und Ingenieursprinzipien</t>
        </is>
      </c>
      <c r="D88" s="18" t="inlineStr">
        <is>
          <t>Technisch</t>
        </is>
      </c>
      <c r="E88" s="19" t="inlineStr">
        <is>
          <t>Art.21(2)(e)</t>
        </is>
      </c>
      <c r="F88" s="10" t="inlineStr">
        <is>
          <t>Nicht umgesetzt</t>
        </is>
      </c>
      <c r="G88" s="20" t="n"/>
      <c r="H88" s="20" t="n"/>
      <c r="I88" s="20" t="n"/>
      <c r="J88" s="21" t="n"/>
      <c r="K88" s="20" t="n"/>
      <c r="L88" s="20" t="n"/>
    </row>
    <row r="89" ht="36" customHeight="1">
      <c r="A89" s="5" t="n">
        <v>87</v>
      </c>
      <c r="B89" s="6" t="inlineStr">
        <is>
          <t>8.28</t>
        </is>
      </c>
      <c r="C89" s="7" t="inlineStr">
        <is>
          <t>Sicheres Codieren</t>
        </is>
      </c>
      <c r="D89" s="8" t="inlineStr">
        <is>
          <t>Technisch</t>
        </is>
      </c>
      <c r="E89" s="9" t="inlineStr">
        <is>
          <t>Art.21(2)(e)</t>
        </is>
      </c>
      <c r="F89" s="10" t="inlineStr">
        <is>
          <t>Nicht umgesetzt</t>
        </is>
      </c>
      <c r="G89" s="11" t="n"/>
      <c r="H89" s="11" t="n"/>
      <c r="I89" s="11" t="n"/>
      <c r="J89" s="12" t="n"/>
      <c r="K89" s="11" t="n"/>
      <c r="L89" s="11" t="n"/>
    </row>
    <row r="90" ht="36" customHeight="1">
      <c r="A90" s="15" t="n">
        <v>88</v>
      </c>
      <c r="B90" s="16" t="inlineStr">
        <is>
          <t>8.29</t>
        </is>
      </c>
      <c r="C90" s="17" t="inlineStr">
        <is>
          <t>Sicherheitstests in Entwicklung und Abnahme</t>
        </is>
      </c>
      <c r="D90" s="18" t="inlineStr">
        <is>
          <t>Technisch</t>
        </is>
      </c>
      <c r="E90" s="19" t="inlineStr">
        <is>
          <t>Art.21(2)(e)</t>
        </is>
      </c>
      <c r="F90" s="10" t="inlineStr">
        <is>
          <t>Nicht umgesetzt</t>
        </is>
      </c>
      <c r="G90" s="20" t="n"/>
      <c r="H90" s="20" t="n"/>
      <c r="I90" s="20" t="n"/>
      <c r="J90" s="21" t="n"/>
      <c r="K90" s="20" t="n"/>
      <c r="L90" s="20" t="n"/>
    </row>
    <row r="91" ht="36" customHeight="1">
      <c r="A91" s="5" t="n">
        <v>89</v>
      </c>
      <c r="B91" s="6" t="inlineStr">
        <is>
          <t>8.30</t>
        </is>
      </c>
      <c r="C91" s="7" t="inlineStr">
        <is>
          <t>Ausgelagerte Entwicklung</t>
        </is>
      </c>
      <c r="D91" s="8" t="inlineStr">
        <is>
          <t>Technisch</t>
        </is>
      </c>
      <c r="E91" s="9" t="inlineStr">
        <is>
          <t>Art.21(2)(e)</t>
        </is>
      </c>
      <c r="F91" s="10" t="inlineStr">
        <is>
          <t>Nicht umgesetzt</t>
        </is>
      </c>
      <c r="G91" s="11" t="n"/>
      <c r="H91" s="11" t="n"/>
      <c r="I91" s="11" t="n"/>
      <c r="J91" s="12" t="n"/>
      <c r="K91" s="11" t="n"/>
      <c r="L91" s="11" t="n"/>
    </row>
    <row r="92" ht="36" customHeight="1">
      <c r="A92" s="15" t="n">
        <v>90</v>
      </c>
      <c r="B92" s="16" t="inlineStr">
        <is>
          <t>8.31</t>
        </is>
      </c>
      <c r="C92" s="17" t="inlineStr">
        <is>
          <t>Trennung von Entwicklungs-, Test- und Produktionsumgebungen</t>
        </is>
      </c>
      <c r="D92" s="18" t="inlineStr">
        <is>
          <t>Technisch</t>
        </is>
      </c>
      <c r="E92" s="19" t="inlineStr">
        <is>
          <t>Art.21(2)(e)</t>
        </is>
      </c>
      <c r="F92" s="10" t="inlineStr">
        <is>
          <t>Nicht umgesetzt</t>
        </is>
      </c>
      <c r="G92" s="20" t="n"/>
      <c r="H92" s="20" t="n"/>
      <c r="I92" s="20" t="n"/>
      <c r="J92" s="21" t="n"/>
      <c r="K92" s="20" t="n"/>
      <c r="L92" s="20" t="n"/>
    </row>
    <row r="93" ht="36" customHeight="1">
      <c r="A93" s="5" t="n">
        <v>91</v>
      </c>
      <c r="B93" s="6" t="inlineStr">
        <is>
          <t>8.32</t>
        </is>
      </c>
      <c r="C93" s="7" t="inlineStr">
        <is>
          <t>Änderungsmanagement</t>
        </is>
      </c>
      <c r="D93" s="8" t="inlineStr">
        <is>
          <t>Technisch</t>
        </is>
      </c>
      <c r="E93" s="9" t="inlineStr">
        <is>
          <t>Art.21(2)(e)</t>
        </is>
      </c>
      <c r="F93" s="10" t="inlineStr">
        <is>
          <t>Nicht umgesetzt</t>
        </is>
      </c>
      <c r="G93" s="11" t="n"/>
      <c r="H93" s="11" t="n"/>
      <c r="I93" s="11" t="n"/>
      <c r="J93" s="12" t="n"/>
      <c r="K93" s="11" t="n"/>
      <c r="L93" s="11" t="n"/>
    </row>
    <row r="94" ht="36" customHeight="1">
      <c r="A94" s="15" t="n">
        <v>92</v>
      </c>
      <c r="B94" s="16" t="inlineStr">
        <is>
          <t>8.33</t>
        </is>
      </c>
      <c r="C94" s="17" t="inlineStr">
        <is>
          <t>Testinformationen</t>
        </is>
      </c>
      <c r="D94" s="18" t="inlineStr">
        <is>
          <t>Technisch</t>
        </is>
      </c>
      <c r="E94" s="19" t="inlineStr">
        <is>
          <t>–</t>
        </is>
      </c>
      <c r="F94" s="10" t="inlineStr">
        <is>
          <t>Nicht umgesetzt</t>
        </is>
      </c>
      <c r="G94" s="20" t="n"/>
      <c r="H94" s="20" t="n"/>
      <c r="I94" s="20" t="n"/>
      <c r="J94" s="21" t="n"/>
      <c r="K94" s="20" t="n"/>
      <c r="L94" s="20" t="n"/>
    </row>
    <row r="95" ht="36" customHeight="1">
      <c r="A95" s="5" t="n">
        <v>93</v>
      </c>
      <c r="B95" s="6" t="inlineStr">
        <is>
          <t>8.34</t>
        </is>
      </c>
      <c r="C95" s="7" t="inlineStr">
        <is>
          <t>Schutz von Informationssystemen bei Audittests</t>
        </is>
      </c>
      <c r="D95" s="8" t="inlineStr">
        <is>
          <t>Technisch</t>
        </is>
      </c>
      <c r="E95" s="9" t="inlineStr">
        <is>
          <t>–</t>
        </is>
      </c>
      <c r="F95" s="10" t="inlineStr">
        <is>
          <t>Nicht umgesetzt</t>
        </is>
      </c>
      <c r="G95" s="11" t="n"/>
      <c r="H95" s="11" t="n"/>
      <c r="I95" s="11" t="n"/>
      <c r="J95" s="12" t="n"/>
      <c r="K95" s="11" t="n"/>
      <c r="L95" s="11" t="n"/>
    </row>
  </sheetData>
  <mergeCells count="2">
    <mergeCell ref="O1:P1"/>
    <mergeCell ref="A1:L1"/>
  </mergeCells>
  <conditionalFormatting sqref="F3:F95">
    <cfRule type="cellIs" priority="1" operator="equal" dxfId="0">
      <formula>"Umgesetzt"</formula>
    </cfRule>
    <cfRule type="cellIs" priority="2" operator="equal" dxfId="1">
      <formula>"Teilweise"</formula>
    </cfRule>
    <cfRule type="cellIs" priority="3" operator="equal" dxfId="2">
      <formula>"Nicht umgesetzt"</formula>
    </cfRule>
  </conditionalFormatting>
  <dataValidations count="1">
    <dataValidation sqref="F3:F95" showDropDown="0" showInputMessage="0" showErrorMessage="1" allowBlank="0" errorTitle="Ungültiger Wert" error="Bitte wählen: Nicht umgesetzt, Teilweise oder Umgesetzt" type="list">
      <formula1>"Nicht umgesetzt,Teilweise,Umgesetzt"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5803D"/>
    <outlinePr summaryBelow="1" summaryRight="1"/>
    <pageSetUpPr fitToPage="1"/>
  </sheetPr>
  <dimension ref="A1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8" customWidth="1" min="3" max="3"/>
    <col width="12" customWidth="1" min="4" max="4"/>
    <col width="10" customWidth="1" min="5" max="5"/>
    <col width="10" customWidth="1" min="6" max="6"/>
  </cols>
  <sheetData>
    <row r="1" ht="30" customHeight="1">
      <c r="B1" s="1" t="inlineStr">
        <is>
          <t>ISMS Umsetzungsstatistik</t>
        </is>
      </c>
    </row>
    <row r="3">
      <c r="A3" s="26" t="inlineStr"/>
      <c r="B3" s="26" t="inlineStr">
        <is>
          <t>Status</t>
        </is>
      </c>
      <c r="C3" s="26" t="inlineStr">
        <is>
          <t>Anzahl</t>
        </is>
      </c>
      <c r="D3" s="26" t="inlineStr">
        <is>
          <t>Anteil</t>
        </is>
      </c>
      <c r="E3" s="26" t="inlineStr">
        <is>
          <t>Fortschritt</t>
        </is>
      </c>
    </row>
    <row r="4">
      <c r="A4" s="27" t="n"/>
      <c r="B4" s="28" t="inlineStr">
        <is>
          <t>✓ Umgesetzt</t>
        </is>
      </c>
      <c r="C4" s="29">
        <f>COUNTIF('Controls Tracker'!$F$3:$F$95,"Umgesetzt")</f>
        <v/>
      </c>
      <c r="D4" s="30">
        <f>C4/93</f>
        <v/>
      </c>
      <c r="E4" s="31">
        <f>REPT("█",ROUND(C4/93*20,0))&amp;REPT("░",20-ROUND(C4/93*20,0))</f>
        <v/>
      </c>
    </row>
    <row r="5">
      <c r="A5" s="27" t="n"/>
      <c r="B5" s="32" t="inlineStr">
        <is>
          <t>◑ Teilweise</t>
        </is>
      </c>
      <c r="C5" s="33">
        <f>COUNTIF('Controls Tracker'!$F$3:$F$95,"Teilweise")</f>
        <v/>
      </c>
      <c r="D5" s="34">
        <f>C5/93</f>
        <v/>
      </c>
      <c r="E5" s="35">
        <f>REPT("█",ROUND(C5/93*20,0))&amp;REPT("░",20-ROUND(C5/93*20,0))</f>
        <v/>
      </c>
    </row>
    <row r="6">
      <c r="A6" s="27" t="n"/>
      <c r="B6" s="36" t="inlineStr">
        <is>
          <t>✗ Nicht umgesetzt</t>
        </is>
      </c>
      <c r="C6" s="37">
        <f>COUNTIF('Controls Tracker'!$F$3:$F$95,"Nicht umgesetzt")</f>
        <v/>
      </c>
      <c r="D6" s="38">
        <f>C6/93</f>
        <v/>
      </c>
      <c r="E6" s="39">
        <f>REPT("█",ROUND(C6/93*20,0))&amp;REPT("░",20-ROUND(C6/93*20,0))</f>
        <v/>
      </c>
    </row>
    <row r="7">
      <c r="B7" s="40" t="inlineStr">
        <is>
          <t>Gesamt</t>
        </is>
      </c>
      <c r="C7" s="41" t="n">
        <v>93</v>
      </c>
      <c r="D7" s="42">
        <f>C4+C5+C6</f>
        <v/>
      </c>
    </row>
    <row r="9" ht="24" customHeight="1">
      <c r="B9" s="43" t="inlineStr">
        <is>
          <t>NIS2 Art. 21 — Erfüllungsgrad</t>
        </is>
      </c>
    </row>
    <row r="10">
      <c r="A10" s="26" t="inlineStr"/>
      <c r="B10" s="26" t="inlineStr">
        <is>
          <t>Artikel</t>
        </is>
      </c>
      <c r="C10" s="26" t="inlineStr">
        <is>
          <t>Bezeichnung</t>
        </is>
      </c>
      <c r="D10" s="26" t="inlineStr">
        <is>
          <t>Umgesetzt</t>
        </is>
      </c>
      <c r="E10" s="26" t="inlineStr">
        <is>
          <t>Gesamt</t>
        </is>
      </c>
      <c r="F10" s="26" t="inlineStr">
        <is>
          <t>Anteil</t>
        </is>
      </c>
    </row>
    <row r="11" ht="22" customHeight="1">
      <c r="A11" s="27" t="n"/>
      <c r="B11" s="44" t="inlineStr">
        <is>
          <t>Art. 21(2)(a)</t>
        </is>
      </c>
      <c r="C11" s="45" t="inlineStr">
        <is>
          <t>Risikoanalyse</t>
        </is>
      </c>
      <c r="D11" s="46">
        <f>COUNTIFS('Controls Tracker'!$B$3:$B$95,"5.1",'Controls Tracker'!$F$3:$F$95,"Umgesetzt")+COUNTIFS('Controls Tracker'!$B$3:$B$95,"5.2",'Controls Tracker'!$F$3:$F$95,"Umgesetzt")+COUNTIFS('Controls Tracker'!$B$3:$B$95,"5.3",'Controls Tracker'!$F$3:$F$95,"Umgesetzt")+COUNTIFS('Controls Tracker'!$B$3:$B$95,"6.1",'Controls Tracker'!$F$3:$F$95,"Umgesetzt")+COUNTIFS('Controls Tracker'!$B$3:$B$95,"8.2",'Controls Tracker'!$F$3:$F$95,"Umgesetzt")+COUNTIFS('Controls Tracker'!$B$3:$B$95,"8.3",'Controls Tracker'!$F$3:$F$95,"Umgesetzt")</f>
        <v/>
      </c>
      <c r="E11" s="8" t="n">
        <v>6</v>
      </c>
      <c r="F11" s="47">
        <f>D11/E11</f>
        <v/>
      </c>
    </row>
    <row r="12" ht="22" customHeight="1">
      <c r="A12" s="27" t="n"/>
      <c r="B12" s="48" t="inlineStr">
        <is>
          <t>Art. 21(2)(b)</t>
        </is>
      </c>
      <c r="C12" s="49" t="inlineStr">
        <is>
          <t>Incident Handling</t>
        </is>
      </c>
      <c r="D12" s="50">
        <f>COUNTIFS('Controls Tracker'!$B$3:$B$95,"5.24",'Controls Tracker'!$F$3:$F$95,"Umgesetzt")+COUNTIFS('Controls Tracker'!$B$3:$B$95,"5.25",'Controls Tracker'!$F$3:$F$95,"Umgesetzt")+COUNTIFS('Controls Tracker'!$B$3:$B$95,"5.26",'Controls Tracker'!$F$3:$F$95,"Umgesetzt")+COUNTIFS('Controls Tracker'!$B$3:$B$95,"5.27",'Controls Tracker'!$F$3:$F$95,"Umgesetzt")+COUNTIFS('Controls Tracker'!$B$3:$B$95,"5.28",'Controls Tracker'!$F$3:$F$95,"Umgesetzt")</f>
        <v/>
      </c>
      <c r="E12" s="18" t="n">
        <v>5</v>
      </c>
      <c r="F12" s="51">
        <f>D12/E12</f>
        <v/>
      </c>
    </row>
    <row r="13" ht="22" customHeight="1">
      <c r="A13" s="27" t="n"/>
      <c r="B13" s="44" t="inlineStr">
        <is>
          <t>Art. 21(2)(c)</t>
        </is>
      </c>
      <c r="C13" s="45" t="inlineStr">
        <is>
          <t>BCM &amp; Disaster Recovery</t>
        </is>
      </c>
      <c r="D13" s="46">
        <f>COUNTIFS('Controls Tracker'!$B$3:$B$95,"5.29",'Controls Tracker'!$F$3:$F$95,"Umgesetzt")+COUNTIFS('Controls Tracker'!$B$3:$B$95,"5.30",'Controls Tracker'!$F$3:$F$95,"Umgesetzt")+COUNTIFS('Controls Tracker'!$B$3:$B$95,"8.13",'Controls Tracker'!$F$3:$F$95,"Umgesetzt")+COUNTIFS('Controls Tracker'!$B$3:$B$95,"8.14",'Controls Tracker'!$F$3:$F$95,"Umgesetzt")</f>
        <v/>
      </c>
      <c r="E13" s="8" t="n">
        <v>4</v>
      </c>
      <c r="F13" s="47">
        <f>D13/E13</f>
        <v/>
      </c>
    </row>
    <row r="14" ht="22" customHeight="1">
      <c r="A14" s="27" t="n"/>
      <c r="B14" s="48" t="inlineStr">
        <is>
          <t>Art. 21(2)(d)</t>
        </is>
      </c>
      <c r="C14" s="49" t="inlineStr">
        <is>
          <t>Lieferkettensicherheit</t>
        </is>
      </c>
      <c r="D14" s="50">
        <f>COUNTIFS('Controls Tracker'!$B$3:$B$95,"5.19",'Controls Tracker'!$F$3:$F$95,"Umgesetzt")+COUNTIFS('Controls Tracker'!$B$3:$B$95,"5.20",'Controls Tracker'!$F$3:$F$95,"Umgesetzt")+COUNTIFS('Controls Tracker'!$B$3:$B$95,"5.21",'Controls Tracker'!$F$3:$F$95,"Umgesetzt")+COUNTIFS('Controls Tracker'!$B$3:$B$95,"5.22",'Controls Tracker'!$F$3:$F$95,"Umgesetzt")+COUNTIFS('Controls Tracker'!$B$3:$B$95,"5.23",'Controls Tracker'!$F$3:$F$95,"Umgesetzt")</f>
        <v/>
      </c>
      <c r="E14" s="18" t="n">
        <v>5</v>
      </c>
      <c r="F14" s="51">
        <f>D14/E14</f>
        <v/>
      </c>
    </row>
    <row r="15" ht="22" customHeight="1">
      <c r="A15" s="27" t="n"/>
      <c r="B15" s="44" t="inlineStr">
        <is>
          <t>Art. 21(2)(e)</t>
        </is>
      </c>
      <c r="C15" s="45" t="inlineStr">
        <is>
          <t>Sichere Entwicklung</t>
        </is>
      </c>
      <c r="D15" s="46">
        <f>COUNTIFS('Controls Tracker'!$B$3:$B$95,"8.25",'Controls Tracker'!$F$3:$F$95,"Umgesetzt")+COUNTIFS('Controls Tracker'!$B$3:$B$95,"8.26",'Controls Tracker'!$F$3:$F$95,"Umgesetzt")+COUNTIFS('Controls Tracker'!$B$3:$B$95,"8.27",'Controls Tracker'!$F$3:$F$95,"Umgesetzt")+COUNTIFS('Controls Tracker'!$B$3:$B$95,"8.28",'Controls Tracker'!$F$3:$F$95,"Umgesetzt")+COUNTIFS('Controls Tracker'!$B$3:$B$95,"8.29",'Controls Tracker'!$F$3:$F$95,"Umgesetzt")+COUNTIFS('Controls Tracker'!$B$3:$B$95,"8.30",'Controls Tracker'!$F$3:$F$95,"Umgesetzt")+COUNTIFS('Controls Tracker'!$B$3:$B$95,"8.31",'Controls Tracker'!$F$3:$F$95,"Umgesetzt")+COUNTIFS('Controls Tracker'!$B$3:$B$95,"8.32",'Controls Tracker'!$F$3:$F$95,"Umgesetzt")</f>
        <v/>
      </c>
      <c r="E15" s="8" t="n">
        <v>8</v>
      </c>
      <c r="F15" s="47">
        <f>D15/E15</f>
        <v/>
      </c>
    </row>
    <row r="16" ht="22" customHeight="1">
      <c r="A16" s="27" t="n"/>
      <c r="B16" s="48" t="inlineStr">
        <is>
          <t>Art. 21(2)(f)</t>
        </is>
      </c>
      <c r="C16" s="49" t="inlineStr">
        <is>
          <t>Wirksamkeitsbewertung</t>
        </is>
      </c>
      <c r="D16" s="50">
        <f>COUNTIFS('Controls Tracker'!$B$3:$B$95,"5.35",'Controls Tracker'!$F$3:$F$95,"Umgesetzt")+COUNTIFS('Controls Tracker'!$B$3:$B$95,"5.36",'Controls Tracker'!$F$3:$F$95,"Umgesetzt")+COUNTIFS('Controls Tracker'!$B$3:$B$95,"8.8",'Controls Tracker'!$F$3:$F$95,"Umgesetzt")</f>
        <v/>
      </c>
      <c r="E16" s="18" t="n">
        <v>3</v>
      </c>
      <c r="F16" s="51">
        <f>D16/E16</f>
        <v/>
      </c>
    </row>
    <row r="17" ht="22" customHeight="1">
      <c r="A17" s="27" t="n"/>
      <c r="B17" s="44" t="inlineStr">
        <is>
          <t>Art. 21(2)(g)</t>
        </is>
      </c>
      <c r="C17" s="45" t="inlineStr">
        <is>
          <t>Schulung &amp; Cyber-Hygiene</t>
        </is>
      </c>
      <c r="D17" s="46">
        <f>COUNTIFS('Controls Tracker'!$B$3:$B$95,"6.3",'Controls Tracker'!$F$3:$F$95,"Umgesetzt")+COUNTIFS('Controls Tracker'!$B$3:$B$95,"6.8",'Controls Tracker'!$F$3:$F$95,"Umgesetzt")</f>
        <v/>
      </c>
      <c r="E17" s="8" t="n">
        <v>2</v>
      </c>
      <c r="F17" s="47">
        <f>D17/E17</f>
        <v/>
      </c>
    </row>
    <row r="18" ht="22" customHeight="1">
      <c r="A18" s="27" t="n"/>
      <c r="B18" s="48" t="inlineStr">
        <is>
          <t>Art. 21(2)(h)</t>
        </is>
      </c>
      <c r="C18" s="49" t="inlineStr">
        <is>
          <t>Kryptographie</t>
        </is>
      </c>
      <c r="D18" s="50">
        <f>COUNTIFS('Controls Tracker'!$B$3:$B$95,"8.24",'Controls Tracker'!$F$3:$F$95,"Umgesetzt")</f>
        <v/>
      </c>
      <c r="E18" s="18" t="n">
        <v>1</v>
      </c>
      <c r="F18" s="51">
        <f>D18/E18</f>
        <v/>
      </c>
    </row>
    <row r="19" ht="22" customHeight="1">
      <c r="A19" s="27" t="n"/>
      <c r="B19" s="44" t="inlineStr">
        <is>
          <t>Art. 21(2)(i)</t>
        </is>
      </c>
      <c r="C19" s="45" t="inlineStr">
        <is>
          <t>HR, Zugang &amp; Assets</t>
        </is>
      </c>
      <c r="D19" s="46">
        <f>COUNTIFS('Controls Tracker'!$B$3:$B$95,"5.9",'Controls Tracker'!$F$3:$F$95,"Umgesetzt")+COUNTIFS('Controls Tracker'!$B$3:$B$95,"5.10",'Controls Tracker'!$F$3:$F$95,"Umgesetzt")+COUNTIFS('Controls Tracker'!$B$3:$B$95,"5.11",'Controls Tracker'!$F$3:$F$95,"Umgesetzt")+COUNTIFS('Controls Tracker'!$B$3:$B$95,"5.15",'Controls Tracker'!$F$3:$F$95,"Umgesetzt")+COUNTIFS('Controls Tracker'!$B$3:$B$95,"5.16",'Controls Tracker'!$F$3:$F$95,"Umgesetzt")+COUNTIFS('Controls Tracker'!$B$3:$B$95,"5.17",'Controls Tracker'!$F$3:$F$95,"Umgesetzt")+COUNTIFS('Controls Tracker'!$B$3:$B$95,"5.18",'Controls Tracker'!$F$3:$F$95,"Umgesetzt")+COUNTIFS('Controls Tracker'!$B$3:$B$95,"6.1",'Controls Tracker'!$F$3:$F$95,"Umgesetzt")+COUNTIFS('Controls Tracker'!$B$3:$B$95,"6.2",'Controls Tracker'!$F$3:$F$95,"Umgesetzt")+COUNTIFS('Controls Tracker'!$B$3:$B$95,"6.5",'Controls Tracker'!$F$3:$F$95,"Umgesetzt")+COUNTIFS('Controls Tracker'!$B$3:$B$95,"8.2",'Controls Tracker'!$F$3:$F$95,"Umgesetzt")+COUNTIFS('Controls Tracker'!$B$3:$B$95,"8.5",'Controls Tracker'!$F$3:$F$95,"Umgesetzt")</f>
        <v/>
      </c>
      <c r="E19" s="8" t="n">
        <v>12</v>
      </c>
      <c r="F19" s="47">
        <f>D19/E19</f>
        <v/>
      </c>
    </row>
    <row r="20" ht="22" customHeight="1">
      <c r="A20" s="27" t="n"/>
      <c r="B20" s="48" t="inlineStr">
        <is>
          <t>Art. 21(2)(j)</t>
        </is>
      </c>
      <c r="C20" s="49" t="inlineStr">
        <is>
          <t>MFA &amp; Kommunikation</t>
        </is>
      </c>
      <c r="D20" s="50">
        <f>COUNTIFS('Controls Tracker'!$B$3:$B$95,"5.14",'Controls Tracker'!$F$3:$F$95,"Umgesetzt")+COUNTIFS('Controls Tracker'!$B$3:$B$95,"8.5",'Controls Tracker'!$F$3:$F$95,"Umgesetzt")+COUNTIFS('Controls Tracker'!$B$3:$B$95,"8.20",'Controls Tracker'!$F$3:$F$95,"Umgesetzt")</f>
        <v/>
      </c>
      <c r="E20" s="18" t="n">
        <v>3</v>
      </c>
      <c r="F20" s="51">
        <f>D20/E20</f>
        <v/>
      </c>
    </row>
  </sheetData>
  <mergeCells count="2">
    <mergeCell ref="B9:E9"/>
    <mergeCell ref="B1:E1"/>
  </mergeCells>
  <conditionalFormatting sqref="F11:F20">
    <cfRule type="cellIs" priority="1" operator="greaterThanOrEqual" dxfId="0">
      <formula>0.99</formula>
    </cfRule>
    <cfRule type="expression" priority="2" dxfId="3">
      <formula>AND(F11&gt;=0.01,F11&lt;0.99)</formula>
    </cfRule>
    <cfRule type="cellIs" priority="3" operator="equal" dxfId="4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G8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6" customWidth="1" min="4" max="4"/>
    <col width="36" customWidth="1" min="5" max="5"/>
    <col width="20" customWidth="1" min="6" max="6"/>
    <col width="14" customWidth="1" min="7" max="7"/>
  </cols>
  <sheetData>
    <row r="1" ht="30" customHeight="1">
      <c r="A1" s="1" t="inlineStr">
        <is>
          <t>NIS2 Art. 21 — Detailansicht der Controls</t>
        </is>
      </c>
    </row>
    <row r="3" ht="22" customHeight="1">
      <c r="A3" s="52" t="inlineStr">
        <is>
          <t>Art. 21(2)(a)  —  Risikoanalyse</t>
        </is>
      </c>
    </row>
    <row r="4" ht="18" customHeight="1">
      <c r="A4" s="53" t="inlineStr">
        <is>
          <t>Control ID</t>
        </is>
      </c>
      <c r="B4" s="53" t="inlineStr">
        <is>
          <t>Control Name</t>
        </is>
      </c>
      <c r="C4" s="53" t="inlineStr">
        <is>
          <t>Kategorie</t>
        </is>
      </c>
      <c r="D4" s="53" t="inlineStr">
        <is>
          <t>Status</t>
        </is>
      </c>
      <c r="E4" s="53" t="inlineStr">
        <is>
          <t>Maßnahmen</t>
        </is>
      </c>
      <c r="F4" s="53" t="inlineStr">
        <is>
          <t>Verantwortlicher</t>
        </is>
      </c>
      <c r="G4" s="53" t="inlineStr">
        <is>
          <t>Datum</t>
        </is>
      </c>
    </row>
    <row r="5" ht="20" customHeight="1">
      <c r="A5" s="54" t="inlineStr">
        <is>
          <t>5.1</t>
        </is>
      </c>
      <c r="B5" s="55" t="inlineStr">
        <is>
          <t>Richtlinien zur Informationssicherheit</t>
        </is>
      </c>
      <c r="C5" s="56" t="inlineStr">
        <is>
          <t>Organisatorisch</t>
        </is>
      </c>
      <c r="D5" s="54">
        <f>'Controls Tracker'!F3</f>
        <v/>
      </c>
      <c r="E5" s="55">
        <f>'Controls Tracker'!H3</f>
        <v/>
      </c>
      <c r="F5" s="56">
        <f>'Controls Tracker'!I3</f>
        <v/>
      </c>
      <c r="G5" s="57">
        <f>'Controls Tracker'!J3</f>
        <v/>
      </c>
    </row>
    <row r="6" ht="20" customHeight="1">
      <c r="A6" s="58" t="inlineStr">
        <is>
          <t>5.2</t>
        </is>
      </c>
      <c r="B6" s="59" t="inlineStr">
        <is>
          <t>Rollen und Verantwortlichkeiten</t>
        </is>
      </c>
      <c r="C6" s="60" t="inlineStr">
        <is>
          <t>Organisatorisch</t>
        </is>
      </c>
      <c r="D6" s="58">
        <f>'Controls Tracker'!F4</f>
        <v/>
      </c>
      <c r="E6" s="59">
        <f>'Controls Tracker'!H4</f>
        <v/>
      </c>
      <c r="F6" s="60">
        <f>'Controls Tracker'!I4</f>
        <v/>
      </c>
      <c r="G6" s="61">
        <f>'Controls Tracker'!J4</f>
        <v/>
      </c>
    </row>
    <row r="7" ht="20" customHeight="1">
      <c r="A7" s="54" t="inlineStr">
        <is>
          <t>5.3</t>
        </is>
      </c>
      <c r="B7" s="55" t="inlineStr">
        <is>
          <t>Aufgabentrennung</t>
        </is>
      </c>
      <c r="C7" s="56" t="inlineStr">
        <is>
          <t>Organisatorisch</t>
        </is>
      </c>
      <c r="D7" s="54">
        <f>'Controls Tracker'!F5</f>
        <v/>
      </c>
      <c r="E7" s="55">
        <f>'Controls Tracker'!H5</f>
        <v/>
      </c>
      <c r="F7" s="56">
        <f>'Controls Tracker'!I5</f>
        <v/>
      </c>
      <c r="G7" s="57">
        <f>'Controls Tracker'!J5</f>
        <v/>
      </c>
    </row>
    <row r="8" ht="20" customHeight="1">
      <c r="A8" s="58" t="inlineStr">
        <is>
          <t>6.1</t>
        </is>
      </c>
      <c r="B8" s="59" t="inlineStr">
        <is>
          <t>Überprüfung (Screening)</t>
        </is>
      </c>
      <c r="C8" s="60" t="inlineStr">
        <is>
          <t>Personell</t>
        </is>
      </c>
      <c r="D8" s="58">
        <f>'Controls Tracker'!F40</f>
        <v/>
      </c>
      <c r="E8" s="59">
        <f>'Controls Tracker'!H40</f>
        <v/>
      </c>
      <c r="F8" s="60">
        <f>'Controls Tracker'!I40</f>
        <v/>
      </c>
      <c r="G8" s="61">
        <f>'Controls Tracker'!J40</f>
        <v/>
      </c>
    </row>
    <row r="9" ht="20" customHeight="1">
      <c r="A9" s="54" t="inlineStr">
        <is>
          <t>8.2</t>
        </is>
      </c>
      <c r="B9" s="55" t="inlineStr">
        <is>
          <t>Privilegierte Zugriffsrechte</t>
        </is>
      </c>
      <c r="C9" s="56" t="inlineStr">
        <is>
          <t>Technisch</t>
        </is>
      </c>
      <c r="D9" s="54">
        <f>'Controls Tracker'!F63</f>
        <v/>
      </c>
      <c r="E9" s="55">
        <f>'Controls Tracker'!H63</f>
        <v/>
      </c>
      <c r="F9" s="56">
        <f>'Controls Tracker'!I63</f>
        <v/>
      </c>
      <c r="G9" s="57">
        <f>'Controls Tracker'!J63</f>
        <v/>
      </c>
    </row>
    <row r="10" ht="20" customHeight="1">
      <c r="A10" s="58" t="inlineStr">
        <is>
          <t>8.3</t>
        </is>
      </c>
      <c r="B10" s="59" t="inlineStr">
        <is>
          <t>Einschränkung des Informationszugriffs</t>
        </is>
      </c>
      <c r="C10" s="60" t="inlineStr">
        <is>
          <t>Technisch</t>
        </is>
      </c>
      <c r="D10" s="58">
        <f>'Controls Tracker'!F64</f>
        <v/>
      </c>
      <c r="E10" s="59">
        <f>'Controls Tracker'!H64</f>
        <v/>
      </c>
      <c r="F10" s="60">
        <f>'Controls Tracker'!I64</f>
        <v/>
      </c>
      <c r="G10" s="61">
        <f>'Controls Tracker'!J64</f>
        <v/>
      </c>
    </row>
    <row r="12" ht="22" customHeight="1">
      <c r="A12" s="52" t="inlineStr">
        <is>
          <t>Art. 21(2)(b)  —  Incident Handling</t>
        </is>
      </c>
    </row>
    <row r="13" ht="18" customHeight="1">
      <c r="A13" s="53" t="inlineStr">
        <is>
          <t>Control ID</t>
        </is>
      </c>
      <c r="B13" s="53" t="inlineStr">
        <is>
          <t>Control Name</t>
        </is>
      </c>
      <c r="C13" s="53" t="inlineStr">
        <is>
          <t>Kategorie</t>
        </is>
      </c>
      <c r="D13" s="53" t="inlineStr">
        <is>
          <t>Status</t>
        </is>
      </c>
      <c r="E13" s="53" t="inlineStr">
        <is>
          <t>Maßnahmen</t>
        </is>
      </c>
      <c r="F13" s="53" t="inlineStr">
        <is>
          <t>Verantwortlicher</t>
        </is>
      </c>
      <c r="G13" s="53" t="inlineStr">
        <is>
          <t>Datum</t>
        </is>
      </c>
    </row>
    <row r="14" ht="20" customHeight="1">
      <c r="A14" s="54" t="inlineStr">
        <is>
          <t>5.24</t>
        </is>
      </c>
      <c r="B14" s="55" t="inlineStr">
        <is>
          <t>Planung und Vorbereitung des Incident Managements</t>
        </is>
      </c>
      <c r="C14" s="56" t="inlineStr">
        <is>
          <t>Organisatorisch</t>
        </is>
      </c>
      <c r="D14" s="54">
        <f>'Controls Tracker'!F26</f>
        <v/>
      </c>
      <c r="E14" s="55">
        <f>'Controls Tracker'!H26</f>
        <v/>
      </c>
      <c r="F14" s="56">
        <f>'Controls Tracker'!I26</f>
        <v/>
      </c>
      <c r="G14" s="57">
        <f>'Controls Tracker'!J26</f>
        <v/>
      </c>
    </row>
    <row r="15" ht="20" customHeight="1">
      <c r="A15" s="58" t="inlineStr">
        <is>
          <t>5.25</t>
        </is>
      </c>
      <c r="B15" s="59" t="inlineStr">
        <is>
          <t>Beurteilung und Entscheidung bei Sicherheitsereignissen</t>
        </is>
      </c>
      <c r="C15" s="60" t="inlineStr">
        <is>
          <t>Organisatorisch</t>
        </is>
      </c>
      <c r="D15" s="58">
        <f>'Controls Tracker'!F27</f>
        <v/>
      </c>
      <c r="E15" s="59">
        <f>'Controls Tracker'!H27</f>
        <v/>
      </c>
      <c r="F15" s="60">
        <f>'Controls Tracker'!I27</f>
        <v/>
      </c>
      <c r="G15" s="61">
        <f>'Controls Tracker'!J27</f>
        <v/>
      </c>
    </row>
    <row r="16" ht="20" customHeight="1">
      <c r="A16" s="54" t="inlineStr">
        <is>
          <t>5.26</t>
        </is>
      </c>
      <c r="B16" s="55" t="inlineStr">
        <is>
          <t>Reaktion auf Sicherheitsvorfälle</t>
        </is>
      </c>
      <c r="C16" s="56" t="inlineStr">
        <is>
          <t>Organisatorisch</t>
        </is>
      </c>
      <c r="D16" s="54">
        <f>'Controls Tracker'!F28</f>
        <v/>
      </c>
      <c r="E16" s="55">
        <f>'Controls Tracker'!H28</f>
        <v/>
      </c>
      <c r="F16" s="56">
        <f>'Controls Tracker'!I28</f>
        <v/>
      </c>
      <c r="G16" s="57">
        <f>'Controls Tracker'!J28</f>
        <v/>
      </c>
    </row>
    <row r="17" ht="20" customHeight="1">
      <c r="A17" s="58" t="inlineStr">
        <is>
          <t>5.27</t>
        </is>
      </c>
      <c r="B17" s="59" t="inlineStr">
        <is>
          <t>Lernen aus Sicherheitsvorfällen</t>
        </is>
      </c>
      <c r="C17" s="60" t="inlineStr">
        <is>
          <t>Organisatorisch</t>
        </is>
      </c>
      <c r="D17" s="58">
        <f>'Controls Tracker'!F29</f>
        <v/>
      </c>
      <c r="E17" s="59">
        <f>'Controls Tracker'!H29</f>
        <v/>
      </c>
      <c r="F17" s="60">
        <f>'Controls Tracker'!I29</f>
        <v/>
      </c>
      <c r="G17" s="61">
        <f>'Controls Tracker'!J29</f>
        <v/>
      </c>
    </row>
    <row r="18" ht="20" customHeight="1">
      <c r="A18" s="54" t="inlineStr">
        <is>
          <t>5.28</t>
        </is>
      </c>
      <c r="B18" s="55" t="inlineStr">
        <is>
          <t>Beweissicherung</t>
        </is>
      </c>
      <c r="C18" s="56" t="inlineStr">
        <is>
          <t>Organisatorisch</t>
        </is>
      </c>
      <c r="D18" s="54">
        <f>'Controls Tracker'!F30</f>
        <v/>
      </c>
      <c r="E18" s="55">
        <f>'Controls Tracker'!H30</f>
        <v/>
      </c>
      <c r="F18" s="56">
        <f>'Controls Tracker'!I30</f>
        <v/>
      </c>
      <c r="G18" s="57">
        <f>'Controls Tracker'!J30</f>
        <v/>
      </c>
    </row>
    <row r="20" ht="22" customHeight="1">
      <c r="A20" s="52" t="inlineStr">
        <is>
          <t>Art. 21(2)(c)  —  BCM &amp; Disaster Recovery</t>
        </is>
      </c>
    </row>
    <row r="21" ht="18" customHeight="1">
      <c r="A21" s="53" t="inlineStr">
        <is>
          <t>Control ID</t>
        </is>
      </c>
      <c r="B21" s="53" t="inlineStr">
        <is>
          <t>Control Name</t>
        </is>
      </c>
      <c r="C21" s="53" t="inlineStr">
        <is>
          <t>Kategorie</t>
        </is>
      </c>
      <c r="D21" s="53" t="inlineStr">
        <is>
          <t>Status</t>
        </is>
      </c>
      <c r="E21" s="53" t="inlineStr">
        <is>
          <t>Maßnahmen</t>
        </is>
      </c>
      <c r="F21" s="53" t="inlineStr">
        <is>
          <t>Verantwortlicher</t>
        </is>
      </c>
      <c r="G21" s="53" t="inlineStr">
        <is>
          <t>Datum</t>
        </is>
      </c>
    </row>
    <row r="22" ht="20" customHeight="1">
      <c r="A22" s="54" t="inlineStr">
        <is>
          <t>5.29</t>
        </is>
      </c>
      <c r="B22" s="55" t="inlineStr">
        <is>
          <t>Informationssicherheit bei Betriebsunterbrechungen</t>
        </is>
      </c>
      <c r="C22" s="56" t="inlineStr">
        <is>
          <t>Organisatorisch</t>
        </is>
      </c>
      <c r="D22" s="54">
        <f>'Controls Tracker'!F31</f>
        <v/>
      </c>
      <c r="E22" s="55">
        <f>'Controls Tracker'!H31</f>
        <v/>
      </c>
      <c r="F22" s="56">
        <f>'Controls Tracker'!I31</f>
        <v/>
      </c>
      <c r="G22" s="57">
        <f>'Controls Tracker'!J31</f>
        <v/>
      </c>
    </row>
    <row r="23" ht="20" customHeight="1">
      <c r="A23" s="58" t="inlineStr">
        <is>
          <t>5.30</t>
        </is>
      </c>
      <c r="B23" s="59" t="inlineStr">
        <is>
          <t>IKT-Bereitschaft für Business Continuity</t>
        </is>
      </c>
      <c r="C23" s="60" t="inlineStr">
        <is>
          <t>Organisatorisch</t>
        </is>
      </c>
      <c r="D23" s="58">
        <f>'Controls Tracker'!F32</f>
        <v/>
      </c>
      <c r="E23" s="59">
        <f>'Controls Tracker'!H32</f>
        <v/>
      </c>
      <c r="F23" s="60">
        <f>'Controls Tracker'!I32</f>
        <v/>
      </c>
      <c r="G23" s="61">
        <f>'Controls Tracker'!J32</f>
        <v/>
      </c>
    </row>
    <row r="24" ht="20" customHeight="1">
      <c r="A24" s="54" t="inlineStr">
        <is>
          <t>8.13</t>
        </is>
      </c>
      <c r="B24" s="55" t="inlineStr">
        <is>
          <t>Informations-Backup</t>
        </is>
      </c>
      <c r="C24" s="56" t="inlineStr">
        <is>
          <t>Technisch</t>
        </is>
      </c>
      <c r="D24" s="54">
        <f>'Controls Tracker'!F74</f>
        <v/>
      </c>
      <c r="E24" s="55">
        <f>'Controls Tracker'!H74</f>
        <v/>
      </c>
      <c r="F24" s="56">
        <f>'Controls Tracker'!I74</f>
        <v/>
      </c>
      <c r="G24" s="57">
        <f>'Controls Tracker'!J74</f>
        <v/>
      </c>
    </row>
    <row r="25" ht="20" customHeight="1">
      <c r="A25" s="58" t="inlineStr">
        <is>
          <t>8.14</t>
        </is>
      </c>
      <c r="B25" s="59" t="inlineStr">
        <is>
          <t>Redundanz von Informationsverarbeitungseinrichtungen</t>
        </is>
      </c>
      <c r="C25" s="60" t="inlineStr">
        <is>
          <t>Technisch</t>
        </is>
      </c>
      <c r="D25" s="58">
        <f>'Controls Tracker'!F75</f>
        <v/>
      </c>
      <c r="E25" s="59">
        <f>'Controls Tracker'!H75</f>
        <v/>
      </c>
      <c r="F25" s="60">
        <f>'Controls Tracker'!I75</f>
        <v/>
      </c>
      <c r="G25" s="61">
        <f>'Controls Tracker'!J75</f>
        <v/>
      </c>
    </row>
    <row r="27" ht="22" customHeight="1">
      <c r="A27" s="52" t="inlineStr">
        <is>
          <t>Art. 21(2)(d)  —  Lieferkettensicherheit</t>
        </is>
      </c>
    </row>
    <row r="28" ht="18" customHeight="1">
      <c r="A28" s="53" t="inlineStr">
        <is>
          <t>Control ID</t>
        </is>
      </c>
      <c r="B28" s="53" t="inlineStr">
        <is>
          <t>Control Name</t>
        </is>
      </c>
      <c r="C28" s="53" t="inlineStr">
        <is>
          <t>Kategorie</t>
        </is>
      </c>
      <c r="D28" s="53" t="inlineStr">
        <is>
          <t>Status</t>
        </is>
      </c>
      <c r="E28" s="53" t="inlineStr">
        <is>
          <t>Maßnahmen</t>
        </is>
      </c>
      <c r="F28" s="53" t="inlineStr">
        <is>
          <t>Verantwortlicher</t>
        </is>
      </c>
      <c r="G28" s="53" t="inlineStr">
        <is>
          <t>Datum</t>
        </is>
      </c>
    </row>
    <row r="29" ht="20" customHeight="1">
      <c r="A29" s="54" t="inlineStr">
        <is>
          <t>5.19</t>
        </is>
      </c>
      <c r="B29" s="55" t="inlineStr">
        <is>
          <t>Informationssicherheit in Lieferantenbeziehungen</t>
        </is>
      </c>
      <c r="C29" s="56" t="inlineStr">
        <is>
          <t>Organisatorisch</t>
        </is>
      </c>
      <c r="D29" s="54">
        <f>'Controls Tracker'!F21</f>
        <v/>
      </c>
      <c r="E29" s="55">
        <f>'Controls Tracker'!H21</f>
        <v/>
      </c>
      <c r="F29" s="56">
        <f>'Controls Tracker'!I21</f>
        <v/>
      </c>
      <c r="G29" s="57">
        <f>'Controls Tracker'!J21</f>
        <v/>
      </c>
    </row>
    <row r="30" ht="20" customHeight="1">
      <c r="A30" s="58" t="inlineStr">
        <is>
          <t>5.20</t>
        </is>
      </c>
      <c r="B30" s="59" t="inlineStr">
        <is>
          <t>Informationssicherheit in Lieferantenvereinbarungen</t>
        </is>
      </c>
      <c r="C30" s="60" t="inlineStr">
        <is>
          <t>Organisatorisch</t>
        </is>
      </c>
      <c r="D30" s="58">
        <f>'Controls Tracker'!F22</f>
        <v/>
      </c>
      <c r="E30" s="59">
        <f>'Controls Tracker'!H22</f>
        <v/>
      </c>
      <c r="F30" s="60">
        <f>'Controls Tracker'!I22</f>
        <v/>
      </c>
      <c r="G30" s="61">
        <f>'Controls Tracker'!J22</f>
        <v/>
      </c>
    </row>
    <row r="31" ht="20" customHeight="1">
      <c r="A31" s="54" t="inlineStr">
        <is>
          <t>5.21</t>
        </is>
      </c>
      <c r="B31" s="55" t="inlineStr">
        <is>
          <t>Informationssicherheit in der IKT-Lieferkette</t>
        </is>
      </c>
      <c r="C31" s="56" t="inlineStr">
        <is>
          <t>Organisatorisch</t>
        </is>
      </c>
      <c r="D31" s="54">
        <f>'Controls Tracker'!F23</f>
        <v/>
      </c>
      <c r="E31" s="55">
        <f>'Controls Tracker'!H23</f>
        <v/>
      </c>
      <c r="F31" s="56">
        <f>'Controls Tracker'!I23</f>
        <v/>
      </c>
      <c r="G31" s="57">
        <f>'Controls Tracker'!J23</f>
        <v/>
      </c>
    </row>
    <row r="32" ht="20" customHeight="1">
      <c r="A32" s="58" t="inlineStr">
        <is>
          <t>5.22</t>
        </is>
      </c>
      <c r="B32" s="59" t="inlineStr">
        <is>
          <t>Überwachung und Management von Lieferantendiensten</t>
        </is>
      </c>
      <c r="C32" s="60" t="inlineStr">
        <is>
          <t>Organisatorisch</t>
        </is>
      </c>
      <c r="D32" s="58">
        <f>'Controls Tracker'!F24</f>
        <v/>
      </c>
      <c r="E32" s="59">
        <f>'Controls Tracker'!H24</f>
        <v/>
      </c>
      <c r="F32" s="60">
        <f>'Controls Tracker'!I24</f>
        <v/>
      </c>
      <c r="G32" s="61">
        <f>'Controls Tracker'!J24</f>
        <v/>
      </c>
    </row>
    <row r="33" ht="20" customHeight="1">
      <c r="A33" s="54" t="inlineStr">
        <is>
          <t>5.23</t>
        </is>
      </c>
      <c r="B33" s="55" t="inlineStr">
        <is>
          <t>Informationssicherheit bei Cloud-Diensten</t>
        </is>
      </c>
      <c r="C33" s="56" t="inlineStr">
        <is>
          <t>Organisatorisch</t>
        </is>
      </c>
      <c r="D33" s="54">
        <f>'Controls Tracker'!F25</f>
        <v/>
      </c>
      <c r="E33" s="55">
        <f>'Controls Tracker'!H25</f>
        <v/>
      </c>
      <c r="F33" s="56">
        <f>'Controls Tracker'!I25</f>
        <v/>
      </c>
      <c r="G33" s="57">
        <f>'Controls Tracker'!J25</f>
        <v/>
      </c>
    </row>
    <row r="35" ht="22" customHeight="1">
      <c r="A35" s="52" t="inlineStr">
        <is>
          <t>Art. 21(2)(e)  —  Sichere Entwicklung</t>
        </is>
      </c>
    </row>
    <row r="36" ht="18" customHeight="1">
      <c r="A36" s="53" t="inlineStr">
        <is>
          <t>Control ID</t>
        </is>
      </c>
      <c r="B36" s="53" t="inlineStr">
        <is>
          <t>Control Name</t>
        </is>
      </c>
      <c r="C36" s="53" t="inlineStr">
        <is>
          <t>Kategorie</t>
        </is>
      </c>
      <c r="D36" s="53" t="inlineStr">
        <is>
          <t>Status</t>
        </is>
      </c>
      <c r="E36" s="53" t="inlineStr">
        <is>
          <t>Maßnahmen</t>
        </is>
      </c>
      <c r="F36" s="53" t="inlineStr">
        <is>
          <t>Verantwortlicher</t>
        </is>
      </c>
      <c r="G36" s="53" t="inlineStr">
        <is>
          <t>Datum</t>
        </is>
      </c>
    </row>
    <row r="37" ht="20" customHeight="1">
      <c r="A37" s="54" t="inlineStr">
        <is>
          <t>8.25</t>
        </is>
      </c>
      <c r="B37" s="55" t="inlineStr">
        <is>
          <t>Sicherer Entwicklungslebenszyklus</t>
        </is>
      </c>
      <c r="C37" s="56" t="inlineStr">
        <is>
          <t>Technisch</t>
        </is>
      </c>
      <c r="D37" s="54">
        <f>'Controls Tracker'!F86</f>
        <v/>
      </c>
      <c r="E37" s="55">
        <f>'Controls Tracker'!H86</f>
        <v/>
      </c>
      <c r="F37" s="56">
        <f>'Controls Tracker'!I86</f>
        <v/>
      </c>
      <c r="G37" s="57">
        <f>'Controls Tracker'!J86</f>
        <v/>
      </c>
    </row>
    <row r="38" ht="20" customHeight="1">
      <c r="A38" s="58" t="inlineStr">
        <is>
          <t>8.26</t>
        </is>
      </c>
      <c r="B38" s="59" t="inlineStr">
        <is>
          <t>Anforderungen an die Anwendungssicherheit</t>
        </is>
      </c>
      <c r="C38" s="60" t="inlineStr">
        <is>
          <t>Technisch</t>
        </is>
      </c>
      <c r="D38" s="58">
        <f>'Controls Tracker'!F87</f>
        <v/>
      </c>
      <c r="E38" s="59">
        <f>'Controls Tracker'!H87</f>
        <v/>
      </c>
      <c r="F38" s="60">
        <f>'Controls Tracker'!I87</f>
        <v/>
      </c>
      <c r="G38" s="61">
        <f>'Controls Tracker'!J87</f>
        <v/>
      </c>
    </row>
    <row r="39" ht="20" customHeight="1">
      <c r="A39" s="54" t="inlineStr">
        <is>
          <t>8.27</t>
        </is>
      </c>
      <c r="B39" s="55" t="inlineStr">
        <is>
          <t>Sichere System-Architektur und Ingenieursprinzipien</t>
        </is>
      </c>
      <c r="C39" s="56" t="inlineStr">
        <is>
          <t>Technisch</t>
        </is>
      </c>
      <c r="D39" s="54">
        <f>'Controls Tracker'!F88</f>
        <v/>
      </c>
      <c r="E39" s="55">
        <f>'Controls Tracker'!H88</f>
        <v/>
      </c>
      <c r="F39" s="56">
        <f>'Controls Tracker'!I88</f>
        <v/>
      </c>
      <c r="G39" s="57">
        <f>'Controls Tracker'!J88</f>
        <v/>
      </c>
    </row>
    <row r="40" ht="20" customHeight="1">
      <c r="A40" s="58" t="inlineStr">
        <is>
          <t>8.28</t>
        </is>
      </c>
      <c r="B40" s="59" t="inlineStr">
        <is>
          <t>Sicheres Codieren</t>
        </is>
      </c>
      <c r="C40" s="60" t="inlineStr">
        <is>
          <t>Technisch</t>
        </is>
      </c>
      <c r="D40" s="58">
        <f>'Controls Tracker'!F89</f>
        <v/>
      </c>
      <c r="E40" s="59">
        <f>'Controls Tracker'!H89</f>
        <v/>
      </c>
      <c r="F40" s="60">
        <f>'Controls Tracker'!I89</f>
        <v/>
      </c>
      <c r="G40" s="61">
        <f>'Controls Tracker'!J89</f>
        <v/>
      </c>
    </row>
    <row r="41" ht="20" customHeight="1">
      <c r="A41" s="54" t="inlineStr">
        <is>
          <t>8.29</t>
        </is>
      </c>
      <c r="B41" s="55" t="inlineStr">
        <is>
          <t>Sicherheitstests in Entwicklung und Abnahme</t>
        </is>
      </c>
      <c r="C41" s="56" t="inlineStr">
        <is>
          <t>Technisch</t>
        </is>
      </c>
      <c r="D41" s="54">
        <f>'Controls Tracker'!F90</f>
        <v/>
      </c>
      <c r="E41" s="55">
        <f>'Controls Tracker'!H90</f>
        <v/>
      </c>
      <c r="F41" s="56">
        <f>'Controls Tracker'!I90</f>
        <v/>
      </c>
      <c r="G41" s="57">
        <f>'Controls Tracker'!J90</f>
        <v/>
      </c>
    </row>
    <row r="42" ht="20" customHeight="1">
      <c r="A42" s="58" t="inlineStr">
        <is>
          <t>8.30</t>
        </is>
      </c>
      <c r="B42" s="59" t="inlineStr">
        <is>
          <t>Ausgelagerte Entwicklung</t>
        </is>
      </c>
      <c r="C42" s="60" t="inlineStr">
        <is>
          <t>Technisch</t>
        </is>
      </c>
      <c r="D42" s="58">
        <f>'Controls Tracker'!F91</f>
        <v/>
      </c>
      <c r="E42" s="59">
        <f>'Controls Tracker'!H91</f>
        <v/>
      </c>
      <c r="F42" s="60">
        <f>'Controls Tracker'!I91</f>
        <v/>
      </c>
      <c r="G42" s="61">
        <f>'Controls Tracker'!J91</f>
        <v/>
      </c>
    </row>
    <row r="43" ht="20" customHeight="1">
      <c r="A43" s="54" t="inlineStr">
        <is>
          <t>8.31</t>
        </is>
      </c>
      <c r="B43" s="55" t="inlineStr">
        <is>
          <t>Trennung von Entwicklungs-, Test- und Produktionsumgebungen</t>
        </is>
      </c>
      <c r="C43" s="56" t="inlineStr">
        <is>
          <t>Technisch</t>
        </is>
      </c>
      <c r="D43" s="54">
        <f>'Controls Tracker'!F92</f>
        <v/>
      </c>
      <c r="E43" s="55">
        <f>'Controls Tracker'!H92</f>
        <v/>
      </c>
      <c r="F43" s="56">
        <f>'Controls Tracker'!I92</f>
        <v/>
      </c>
      <c r="G43" s="57">
        <f>'Controls Tracker'!J92</f>
        <v/>
      </c>
    </row>
    <row r="44" ht="20" customHeight="1">
      <c r="A44" s="58" t="inlineStr">
        <is>
          <t>8.32</t>
        </is>
      </c>
      <c r="B44" s="59" t="inlineStr">
        <is>
          <t>Änderungsmanagement</t>
        </is>
      </c>
      <c r="C44" s="60" t="inlineStr">
        <is>
          <t>Technisch</t>
        </is>
      </c>
      <c r="D44" s="58">
        <f>'Controls Tracker'!F93</f>
        <v/>
      </c>
      <c r="E44" s="59">
        <f>'Controls Tracker'!H93</f>
        <v/>
      </c>
      <c r="F44" s="60">
        <f>'Controls Tracker'!I93</f>
        <v/>
      </c>
      <c r="G44" s="61">
        <f>'Controls Tracker'!J93</f>
        <v/>
      </c>
    </row>
    <row r="46" ht="22" customHeight="1">
      <c r="A46" s="52" t="inlineStr">
        <is>
          <t>Art. 21(2)(f)  —  Wirksamkeitsbewertung</t>
        </is>
      </c>
    </row>
    <row r="47" ht="18" customHeight="1">
      <c r="A47" s="53" t="inlineStr">
        <is>
          <t>Control ID</t>
        </is>
      </c>
      <c r="B47" s="53" t="inlineStr">
        <is>
          <t>Control Name</t>
        </is>
      </c>
      <c r="C47" s="53" t="inlineStr">
        <is>
          <t>Kategorie</t>
        </is>
      </c>
      <c r="D47" s="53" t="inlineStr">
        <is>
          <t>Status</t>
        </is>
      </c>
      <c r="E47" s="53" t="inlineStr">
        <is>
          <t>Maßnahmen</t>
        </is>
      </c>
      <c r="F47" s="53" t="inlineStr">
        <is>
          <t>Verantwortlicher</t>
        </is>
      </c>
      <c r="G47" s="53" t="inlineStr">
        <is>
          <t>Datum</t>
        </is>
      </c>
    </row>
    <row r="48" ht="20" customHeight="1">
      <c r="A48" s="54" t="inlineStr">
        <is>
          <t>5.35</t>
        </is>
      </c>
      <c r="B48" s="55" t="inlineStr">
        <is>
          <t>Unabhängige Überprüfung der Informationssicherheit</t>
        </is>
      </c>
      <c r="C48" s="56" t="inlineStr">
        <is>
          <t>Organisatorisch</t>
        </is>
      </c>
      <c r="D48" s="54">
        <f>'Controls Tracker'!F37</f>
        <v/>
      </c>
      <c r="E48" s="55">
        <f>'Controls Tracker'!H37</f>
        <v/>
      </c>
      <c r="F48" s="56">
        <f>'Controls Tracker'!I37</f>
        <v/>
      </c>
      <c r="G48" s="57">
        <f>'Controls Tracker'!J37</f>
        <v/>
      </c>
    </row>
    <row r="49" ht="20" customHeight="1">
      <c r="A49" s="58" t="inlineStr">
        <is>
          <t>5.36</t>
        </is>
      </c>
      <c r="B49" s="59" t="inlineStr">
        <is>
          <t>Einhaltung von Richtlinien und Standards</t>
        </is>
      </c>
      <c r="C49" s="60" t="inlineStr">
        <is>
          <t>Organisatorisch</t>
        </is>
      </c>
      <c r="D49" s="58">
        <f>'Controls Tracker'!F38</f>
        <v/>
      </c>
      <c r="E49" s="59">
        <f>'Controls Tracker'!H38</f>
        <v/>
      </c>
      <c r="F49" s="60">
        <f>'Controls Tracker'!I38</f>
        <v/>
      </c>
      <c r="G49" s="61">
        <f>'Controls Tracker'!J38</f>
        <v/>
      </c>
    </row>
    <row r="50" ht="20" customHeight="1">
      <c r="A50" s="54" t="inlineStr">
        <is>
          <t>8.8</t>
        </is>
      </c>
      <c r="B50" s="55" t="inlineStr">
        <is>
          <t>Management technischer Schwachstellen</t>
        </is>
      </c>
      <c r="C50" s="56" t="inlineStr">
        <is>
          <t>Technisch</t>
        </is>
      </c>
      <c r="D50" s="54">
        <f>'Controls Tracker'!F69</f>
        <v/>
      </c>
      <c r="E50" s="55">
        <f>'Controls Tracker'!H69</f>
        <v/>
      </c>
      <c r="F50" s="56">
        <f>'Controls Tracker'!I69</f>
        <v/>
      </c>
      <c r="G50" s="57">
        <f>'Controls Tracker'!J69</f>
        <v/>
      </c>
    </row>
    <row r="52" ht="22" customHeight="1">
      <c r="A52" s="52" t="inlineStr">
        <is>
          <t>Art. 21(2)(g)  —  Schulung &amp; Cyber-Hygiene</t>
        </is>
      </c>
    </row>
    <row r="53" ht="18" customHeight="1">
      <c r="A53" s="53" t="inlineStr">
        <is>
          <t>Control ID</t>
        </is>
      </c>
      <c r="B53" s="53" t="inlineStr">
        <is>
          <t>Control Name</t>
        </is>
      </c>
      <c r="C53" s="53" t="inlineStr">
        <is>
          <t>Kategorie</t>
        </is>
      </c>
      <c r="D53" s="53" t="inlineStr">
        <is>
          <t>Status</t>
        </is>
      </c>
      <c r="E53" s="53" t="inlineStr">
        <is>
          <t>Maßnahmen</t>
        </is>
      </c>
      <c r="F53" s="53" t="inlineStr">
        <is>
          <t>Verantwortlicher</t>
        </is>
      </c>
      <c r="G53" s="53" t="inlineStr">
        <is>
          <t>Datum</t>
        </is>
      </c>
    </row>
    <row r="54" ht="20" customHeight="1">
      <c r="A54" s="54" t="inlineStr">
        <is>
          <t>6.3</t>
        </is>
      </c>
      <c r="B54" s="55" t="inlineStr">
        <is>
          <t>Schulung und Training zur Informationssicherheit</t>
        </is>
      </c>
      <c r="C54" s="56" t="inlineStr">
        <is>
          <t>Personell</t>
        </is>
      </c>
      <c r="D54" s="54">
        <f>'Controls Tracker'!F42</f>
        <v/>
      </c>
      <c r="E54" s="55">
        <f>'Controls Tracker'!H42</f>
        <v/>
      </c>
      <c r="F54" s="56">
        <f>'Controls Tracker'!I42</f>
        <v/>
      </c>
      <c r="G54" s="57">
        <f>'Controls Tracker'!J42</f>
        <v/>
      </c>
    </row>
    <row r="55" ht="20" customHeight="1">
      <c r="A55" s="58" t="inlineStr">
        <is>
          <t>6.8</t>
        </is>
      </c>
      <c r="B55" s="59" t="inlineStr">
        <is>
          <t>Meldung von Sicherheitsereignissen</t>
        </is>
      </c>
      <c r="C55" s="60" t="inlineStr">
        <is>
          <t>Personell</t>
        </is>
      </c>
      <c r="D55" s="58">
        <f>'Controls Tracker'!F47</f>
        <v/>
      </c>
      <c r="E55" s="59">
        <f>'Controls Tracker'!H47</f>
        <v/>
      </c>
      <c r="F55" s="60">
        <f>'Controls Tracker'!I47</f>
        <v/>
      </c>
      <c r="G55" s="61">
        <f>'Controls Tracker'!J47</f>
        <v/>
      </c>
    </row>
    <row r="57" ht="22" customHeight="1">
      <c r="A57" s="52" t="inlineStr">
        <is>
          <t>Art. 21(2)(h)  —  Kryptographie</t>
        </is>
      </c>
    </row>
    <row r="58" ht="18" customHeight="1">
      <c r="A58" s="53" t="inlineStr">
        <is>
          <t>Control ID</t>
        </is>
      </c>
      <c r="B58" s="53" t="inlineStr">
        <is>
          <t>Control Name</t>
        </is>
      </c>
      <c r="C58" s="53" t="inlineStr">
        <is>
          <t>Kategorie</t>
        </is>
      </c>
      <c r="D58" s="53" t="inlineStr">
        <is>
          <t>Status</t>
        </is>
      </c>
      <c r="E58" s="53" t="inlineStr">
        <is>
          <t>Maßnahmen</t>
        </is>
      </c>
      <c r="F58" s="53" t="inlineStr">
        <is>
          <t>Verantwortlicher</t>
        </is>
      </c>
      <c r="G58" s="53" t="inlineStr">
        <is>
          <t>Datum</t>
        </is>
      </c>
    </row>
    <row r="59" ht="20" customHeight="1">
      <c r="A59" s="54" t="inlineStr">
        <is>
          <t>8.24</t>
        </is>
      </c>
      <c r="B59" s="55" t="inlineStr">
        <is>
          <t>Kryptographie</t>
        </is>
      </c>
      <c r="C59" s="56" t="inlineStr">
        <is>
          <t>Technisch</t>
        </is>
      </c>
      <c r="D59" s="54">
        <f>'Controls Tracker'!F85</f>
        <v/>
      </c>
      <c r="E59" s="55">
        <f>'Controls Tracker'!H85</f>
        <v/>
      </c>
      <c r="F59" s="56">
        <f>'Controls Tracker'!I85</f>
        <v/>
      </c>
      <c r="G59" s="57">
        <f>'Controls Tracker'!J85</f>
        <v/>
      </c>
    </row>
    <row r="61" ht="22" customHeight="1">
      <c r="A61" s="52" t="inlineStr">
        <is>
          <t>Art. 21(2)(i)  —  HR, Zugang &amp; Assets</t>
        </is>
      </c>
    </row>
    <row r="62" ht="18" customHeight="1">
      <c r="A62" s="53" t="inlineStr">
        <is>
          <t>Control ID</t>
        </is>
      </c>
      <c r="B62" s="53" t="inlineStr">
        <is>
          <t>Control Name</t>
        </is>
      </c>
      <c r="C62" s="53" t="inlineStr">
        <is>
          <t>Kategorie</t>
        </is>
      </c>
      <c r="D62" s="53" t="inlineStr">
        <is>
          <t>Status</t>
        </is>
      </c>
      <c r="E62" s="53" t="inlineStr">
        <is>
          <t>Maßnahmen</t>
        </is>
      </c>
      <c r="F62" s="53" t="inlineStr">
        <is>
          <t>Verantwortlicher</t>
        </is>
      </c>
      <c r="G62" s="53" t="inlineStr">
        <is>
          <t>Datum</t>
        </is>
      </c>
    </row>
    <row r="63" ht="20" customHeight="1">
      <c r="A63" s="54" t="inlineStr">
        <is>
          <t>5.9</t>
        </is>
      </c>
      <c r="B63" s="55" t="inlineStr">
        <is>
          <t>Inventar der Informationen und Assets</t>
        </is>
      </c>
      <c r="C63" s="56" t="inlineStr">
        <is>
          <t>Organisatorisch</t>
        </is>
      </c>
      <c r="D63" s="54">
        <f>'Controls Tracker'!F11</f>
        <v/>
      </c>
      <c r="E63" s="55">
        <f>'Controls Tracker'!H11</f>
        <v/>
      </c>
      <c r="F63" s="56">
        <f>'Controls Tracker'!I11</f>
        <v/>
      </c>
      <c r="G63" s="57">
        <f>'Controls Tracker'!J11</f>
        <v/>
      </c>
    </row>
    <row r="64" ht="20" customHeight="1">
      <c r="A64" s="58" t="inlineStr">
        <is>
          <t>5.10</t>
        </is>
      </c>
      <c r="B64" s="59" t="inlineStr">
        <is>
          <t>Akzeptable Nutzung von Informationen und Assets</t>
        </is>
      </c>
      <c r="C64" s="60" t="inlineStr">
        <is>
          <t>Organisatorisch</t>
        </is>
      </c>
      <c r="D64" s="58">
        <f>'Controls Tracker'!F12</f>
        <v/>
      </c>
      <c r="E64" s="59">
        <f>'Controls Tracker'!H12</f>
        <v/>
      </c>
      <c r="F64" s="60">
        <f>'Controls Tracker'!I12</f>
        <v/>
      </c>
      <c r="G64" s="61">
        <f>'Controls Tracker'!J12</f>
        <v/>
      </c>
    </row>
    <row r="65" ht="20" customHeight="1">
      <c r="A65" s="54" t="inlineStr">
        <is>
          <t>5.11</t>
        </is>
      </c>
      <c r="B65" s="55" t="inlineStr">
        <is>
          <t>Rückgabe von Assets</t>
        </is>
      </c>
      <c r="C65" s="56" t="inlineStr">
        <is>
          <t>Organisatorisch</t>
        </is>
      </c>
      <c r="D65" s="54">
        <f>'Controls Tracker'!F13</f>
        <v/>
      </c>
      <c r="E65" s="55">
        <f>'Controls Tracker'!H13</f>
        <v/>
      </c>
      <c r="F65" s="56">
        <f>'Controls Tracker'!I13</f>
        <v/>
      </c>
      <c r="G65" s="57">
        <f>'Controls Tracker'!J13</f>
        <v/>
      </c>
    </row>
    <row r="66" ht="20" customHeight="1">
      <c r="A66" s="58" t="inlineStr">
        <is>
          <t>5.15</t>
        </is>
      </c>
      <c r="B66" s="59" t="inlineStr">
        <is>
          <t>Zugriffskontrolle</t>
        </is>
      </c>
      <c r="C66" s="60" t="inlineStr">
        <is>
          <t>Organisatorisch</t>
        </is>
      </c>
      <c r="D66" s="58">
        <f>'Controls Tracker'!F17</f>
        <v/>
      </c>
      <c r="E66" s="59">
        <f>'Controls Tracker'!H17</f>
        <v/>
      </c>
      <c r="F66" s="60">
        <f>'Controls Tracker'!I17</f>
        <v/>
      </c>
      <c r="G66" s="61">
        <f>'Controls Tracker'!J17</f>
        <v/>
      </c>
    </row>
    <row r="67" ht="20" customHeight="1">
      <c r="A67" s="54" t="inlineStr">
        <is>
          <t>5.16</t>
        </is>
      </c>
      <c r="B67" s="55" t="inlineStr">
        <is>
          <t>Identitätsmanagement</t>
        </is>
      </c>
      <c r="C67" s="56" t="inlineStr">
        <is>
          <t>Organisatorisch</t>
        </is>
      </c>
      <c r="D67" s="54">
        <f>'Controls Tracker'!F18</f>
        <v/>
      </c>
      <c r="E67" s="55">
        <f>'Controls Tracker'!H18</f>
        <v/>
      </c>
      <c r="F67" s="56">
        <f>'Controls Tracker'!I18</f>
        <v/>
      </c>
      <c r="G67" s="57">
        <f>'Controls Tracker'!J18</f>
        <v/>
      </c>
    </row>
    <row r="68" ht="20" customHeight="1">
      <c r="A68" s="58" t="inlineStr">
        <is>
          <t>5.17</t>
        </is>
      </c>
      <c r="B68" s="59" t="inlineStr">
        <is>
          <t>Authentifizierungsinformationen</t>
        </is>
      </c>
      <c r="C68" s="60" t="inlineStr">
        <is>
          <t>Organisatorisch</t>
        </is>
      </c>
      <c r="D68" s="58">
        <f>'Controls Tracker'!F19</f>
        <v/>
      </c>
      <c r="E68" s="59">
        <f>'Controls Tracker'!H19</f>
        <v/>
      </c>
      <c r="F68" s="60">
        <f>'Controls Tracker'!I19</f>
        <v/>
      </c>
      <c r="G68" s="61">
        <f>'Controls Tracker'!J19</f>
        <v/>
      </c>
    </row>
    <row r="69" ht="20" customHeight="1">
      <c r="A69" s="54" t="inlineStr">
        <is>
          <t>5.18</t>
        </is>
      </c>
      <c r="B69" s="55" t="inlineStr">
        <is>
          <t>Zugriffsrechte</t>
        </is>
      </c>
      <c r="C69" s="56" t="inlineStr">
        <is>
          <t>Organisatorisch</t>
        </is>
      </c>
      <c r="D69" s="54">
        <f>'Controls Tracker'!F20</f>
        <v/>
      </c>
      <c r="E69" s="55">
        <f>'Controls Tracker'!H20</f>
        <v/>
      </c>
      <c r="F69" s="56">
        <f>'Controls Tracker'!I20</f>
        <v/>
      </c>
      <c r="G69" s="57">
        <f>'Controls Tracker'!J20</f>
        <v/>
      </c>
    </row>
    <row r="70" ht="20" customHeight="1">
      <c r="A70" s="58" t="inlineStr">
        <is>
          <t>6.1</t>
        </is>
      </c>
      <c r="B70" s="59" t="inlineStr">
        <is>
          <t>Überprüfung (Screening)</t>
        </is>
      </c>
      <c r="C70" s="60" t="inlineStr">
        <is>
          <t>Personell</t>
        </is>
      </c>
      <c r="D70" s="58">
        <f>'Controls Tracker'!F40</f>
        <v/>
      </c>
      <c r="E70" s="59">
        <f>'Controls Tracker'!H40</f>
        <v/>
      </c>
      <c r="F70" s="60">
        <f>'Controls Tracker'!I40</f>
        <v/>
      </c>
      <c r="G70" s="61">
        <f>'Controls Tracker'!J40</f>
        <v/>
      </c>
    </row>
    <row r="71" ht="20" customHeight="1">
      <c r="A71" s="54" t="inlineStr">
        <is>
          <t>6.2</t>
        </is>
      </c>
      <c r="B71" s="55" t="inlineStr">
        <is>
          <t>Beschäftigungsbedingungen</t>
        </is>
      </c>
      <c r="C71" s="56" t="inlineStr">
        <is>
          <t>Personell</t>
        </is>
      </c>
      <c r="D71" s="54">
        <f>'Controls Tracker'!F41</f>
        <v/>
      </c>
      <c r="E71" s="55">
        <f>'Controls Tracker'!H41</f>
        <v/>
      </c>
      <c r="F71" s="56">
        <f>'Controls Tracker'!I41</f>
        <v/>
      </c>
      <c r="G71" s="57">
        <f>'Controls Tracker'!J41</f>
        <v/>
      </c>
    </row>
    <row r="72" ht="20" customHeight="1">
      <c r="A72" s="58" t="inlineStr">
        <is>
          <t>6.5</t>
        </is>
      </c>
      <c r="B72" s="59" t="inlineStr">
        <is>
          <t>Verantwortlichkeiten nach Beschäftigungsende</t>
        </is>
      </c>
      <c r="C72" s="60" t="inlineStr">
        <is>
          <t>Personell</t>
        </is>
      </c>
      <c r="D72" s="58">
        <f>'Controls Tracker'!F44</f>
        <v/>
      </c>
      <c r="E72" s="59">
        <f>'Controls Tracker'!H44</f>
        <v/>
      </c>
      <c r="F72" s="60">
        <f>'Controls Tracker'!I44</f>
        <v/>
      </c>
      <c r="G72" s="61">
        <f>'Controls Tracker'!J44</f>
        <v/>
      </c>
    </row>
    <row r="73" ht="20" customHeight="1">
      <c r="A73" s="54" t="inlineStr">
        <is>
          <t>8.2</t>
        </is>
      </c>
      <c r="B73" s="55" t="inlineStr">
        <is>
          <t>Privilegierte Zugriffsrechte</t>
        </is>
      </c>
      <c r="C73" s="56" t="inlineStr">
        <is>
          <t>Technisch</t>
        </is>
      </c>
      <c r="D73" s="54">
        <f>'Controls Tracker'!F63</f>
        <v/>
      </c>
      <c r="E73" s="55">
        <f>'Controls Tracker'!H63</f>
        <v/>
      </c>
      <c r="F73" s="56">
        <f>'Controls Tracker'!I63</f>
        <v/>
      </c>
      <c r="G73" s="57">
        <f>'Controls Tracker'!J63</f>
        <v/>
      </c>
    </row>
    <row r="74" ht="20" customHeight="1">
      <c r="A74" s="58" t="inlineStr">
        <is>
          <t>8.5</t>
        </is>
      </c>
      <c r="B74" s="59" t="inlineStr">
        <is>
          <t>Sichere Authentifizierung</t>
        </is>
      </c>
      <c r="C74" s="60" t="inlineStr">
        <is>
          <t>Technisch</t>
        </is>
      </c>
      <c r="D74" s="58">
        <f>'Controls Tracker'!F66</f>
        <v/>
      </c>
      <c r="E74" s="59">
        <f>'Controls Tracker'!H66</f>
        <v/>
      </c>
      <c r="F74" s="60">
        <f>'Controls Tracker'!I66</f>
        <v/>
      </c>
      <c r="G74" s="61">
        <f>'Controls Tracker'!J66</f>
        <v/>
      </c>
    </row>
    <row r="76" ht="22" customHeight="1">
      <c r="A76" s="52" t="inlineStr">
        <is>
          <t>Art. 21(2)(j)  —  MFA &amp; Kommunikation</t>
        </is>
      </c>
    </row>
    <row r="77" ht="18" customHeight="1">
      <c r="A77" s="53" t="inlineStr">
        <is>
          <t>Control ID</t>
        </is>
      </c>
      <c r="B77" s="53" t="inlineStr">
        <is>
          <t>Control Name</t>
        </is>
      </c>
      <c r="C77" s="53" t="inlineStr">
        <is>
          <t>Kategorie</t>
        </is>
      </c>
      <c r="D77" s="53" t="inlineStr">
        <is>
          <t>Status</t>
        </is>
      </c>
      <c r="E77" s="53" t="inlineStr">
        <is>
          <t>Maßnahmen</t>
        </is>
      </c>
      <c r="F77" s="53" t="inlineStr">
        <is>
          <t>Verantwortlicher</t>
        </is>
      </c>
      <c r="G77" s="53" t="inlineStr">
        <is>
          <t>Datum</t>
        </is>
      </c>
    </row>
    <row r="78" ht="20" customHeight="1">
      <c r="A78" s="54" t="inlineStr">
        <is>
          <t>5.14</t>
        </is>
      </c>
      <c r="B78" s="55" t="inlineStr">
        <is>
          <t>Informationsübertragung</t>
        </is>
      </c>
      <c r="C78" s="56" t="inlineStr">
        <is>
          <t>Organisatorisch</t>
        </is>
      </c>
      <c r="D78" s="54">
        <f>'Controls Tracker'!F16</f>
        <v/>
      </c>
      <c r="E78" s="55">
        <f>'Controls Tracker'!H16</f>
        <v/>
      </c>
      <c r="F78" s="56">
        <f>'Controls Tracker'!I16</f>
        <v/>
      </c>
      <c r="G78" s="57">
        <f>'Controls Tracker'!J16</f>
        <v/>
      </c>
    </row>
    <row r="79" ht="20" customHeight="1">
      <c r="A79" s="58" t="inlineStr">
        <is>
          <t>8.5</t>
        </is>
      </c>
      <c r="B79" s="59" t="inlineStr">
        <is>
          <t>Sichere Authentifizierung</t>
        </is>
      </c>
      <c r="C79" s="60" t="inlineStr">
        <is>
          <t>Technisch</t>
        </is>
      </c>
      <c r="D79" s="58">
        <f>'Controls Tracker'!F66</f>
        <v/>
      </c>
      <c r="E79" s="59">
        <f>'Controls Tracker'!H66</f>
        <v/>
      </c>
      <c r="F79" s="60">
        <f>'Controls Tracker'!I66</f>
        <v/>
      </c>
      <c r="G79" s="61">
        <f>'Controls Tracker'!J66</f>
        <v/>
      </c>
    </row>
    <row r="80" ht="20" customHeight="1">
      <c r="A80" s="54" t="inlineStr">
        <is>
          <t>8.20</t>
        </is>
      </c>
      <c r="B80" s="55" t="inlineStr">
        <is>
          <t>Netzwerksicherheit</t>
        </is>
      </c>
      <c r="C80" s="56" t="inlineStr">
        <is>
          <t>Technisch</t>
        </is>
      </c>
      <c r="D80" s="54">
        <f>'Controls Tracker'!F81</f>
        <v/>
      </c>
      <c r="E80" s="55">
        <f>'Controls Tracker'!H81</f>
        <v/>
      </c>
      <c r="F80" s="56">
        <f>'Controls Tracker'!I81</f>
        <v/>
      </c>
      <c r="G80" s="57">
        <f>'Controls Tracker'!J81</f>
        <v/>
      </c>
    </row>
  </sheetData>
  <mergeCells count="11">
    <mergeCell ref="A61:G61"/>
    <mergeCell ref="A1:G1"/>
    <mergeCell ref="A27:G27"/>
    <mergeCell ref="A3:G3"/>
    <mergeCell ref="A12:G12"/>
    <mergeCell ref="A35:G35"/>
    <mergeCell ref="A20:G20"/>
    <mergeCell ref="A52:G52"/>
    <mergeCell ref="A57:G57"/>
    <mergeCell ref="A76:G76"/>
    <mergeCell ref="A46:G46"/>
  </mergeCells>
  <conditionalFormatting sqref="D5:D10">
    <cfRule type="cellIs" priority="1" operator="equal" dxfId="0">
      <formula>"Umgesetzt"</formula>
    </cfRule>
    <cfRule type="cellIs" priority="2" operator="equal" dxfId="1">
      <formula>"Teilweise"</formula>
    </cfRule>
    <cfRule type="cellIs" priority="3" operator="equal" dxfId="2">
      <formula>"Nicht umgesetzt"</formula>
    </cfRule>
  </conditionalFormatting>
  <conditionalFormatting sqref="D14:D18">
    <cfRule type="cellIs" priority="4" operator="equal" dxfId="0">
      <formula>"Umgesetzt"</formula>
    </cfRule>
    <cfRule type="cellIs" priority="5" operator="equal" dxfId="1">
      <formula>"Teilweise"</formula>
    </cfRule>
    <cfRule type="cellIs" priority="6" operator="equal" dxfId="2">
      <formula>"Nicht umgesetzt"</formula>
    </cfRule>
  </conditionalFormatting>
  <conditionalFormatting sqref="D22:D25">
    <cfRule type="cellIs" priority="7" operator="equal" dxfId="0">
      <formula>"Umgesetzt"</formula>
    </cfRule>
    <cfRule type="cellIs" priority="8" operator="equal" dxfId="1">
      <formula>"Teilweise"</formula>
    </cfRule>
    <cfRule type="cellIs" priority="9" operator="equal" dxfId="2">
      <formula>"Nicht umgesetzt"</formula>
    </cfRule>
  </conditionalFormatting>
  <conditionalFormatting sqref="D29:D33">
    <cfRule type="cellIs" priority="10" operator="equal" dxfId="0">
      <formula>"Umgesetzt"</formula>
    </cfRule>
    <cfRule type="cellIs" priority="11" operator="equal" dxfId="1">
      <formula>"Teilweise"</formula>
    </cfRule>
    <cfRule type="cellIs" priority="12" operator="equal" dxfId="2">
      <formula>"Nicht umgesetzt"</formula>
    </cfRule>
  </conditionalFormatting>
  <conditionalFormatting sqref="D37:D44">
    <cfRule type="cellIs" priority="13" operator="equal" dxfId="0">
      <formula>"Umgesetzt"</formula>
    </cfRule>
    <cfRule type="cellIs" priority="14" operator="equal" dxfId="1">
      <formula>"Teilweise"</formula>
    </cfRule>
    <cfRule type="cellIs" priority="15" operator="equal" dxfId="2">
      <formula>"Nicht umgesetzt"</formula>
    </cfRule>
  </conditionalFormatting>
  <conditionalFormatting sqref="D48:D50">
    <cfRule type="cellIs" priority="16" operator="equal" dxfId="0">
      <formula>"Umgesetzt"</formula>
    </cfRule>
    <cfRule type="cellIs" priority="17" operator="equal" dxfId="1">
      <formula>"Teilweise"</formula>
    </cfRule>
    <cfRule type="cellIs" priority="18" operator="equal" dxfId="2">
      <formula>"Nicht umgesetzt"</formula>
    </cfRule>
  </conditionalFormatting>
  <conditionalFormatting sqref="D54:D55">
    <cfRule type="cellIs" priority="19" operator="equal" dxfId="0">
      <formula>"Umgesetzt"</formula>
    </cfRule>
    <cfRule type="cellIs" priority="20" operator="equal" dxfId="1">
      <formula>"Teilweise"</formula>
    </cfRule>
    <cfRule type="cellIs" priority="21" operator="equal" dxfId="2">
      <formula>"Nicht umgesetzt"</formula>
    </cfRule>
  </conditionalFormatting>
  <conditionalFormatting sqref="D59">
    <cfRule type="cellIs" priority="22" operator="equal" dxfId="0">
      <formula>"Umgesetzt"</formula>
    </cfRule>
    <cfRule type="cellIs" priority="23" operator="equal" dxfId="1">
      <formula>"Teilweise"</formula>
    </cfRule>
    <cfRule type="cellIs" priority="24" operator="equal" dxfId="2">
      <formula>"Nicht umgesetzt"</formula>
    </cfRule>
  </conditionalFormatting>
  <conditionalFormatting sqref="D63:D74">
    <cfRule type="cellIs" priority="25" operator="equal" dxfId="0">
      <formula>"Umgesetzt"</formula>
    </cfRule>
    <cfRule type="cellIs" priority="26" operator="equal" dxfId="1">
      <formula>"Teilweise"</formula>
    </cfRule>
    <cfRule type="cellIs" priority="27" operator="equal" dxfId="2">
      <formula>"Nicht umgesetzt"</formula>
    </cfRule>
  </conditionalFormatting>
  <conditionalFormatting sqref="D78:D80">
    <cfRule type="cellIs" priority="28" operator="equal" dxfId="0">
      <formula>"Umgesetzt"</formula>
    </cfRule>
    <cfRule type="cellIs" priority="29" operator="equal" dxfId="1">
      <formula>"Teilweise"</formula>
    </cfRule>
    <cfRule type="cellIs" priority="30" operator="equal" dxfId="2">
      <formula>"Nicht umgesetzt"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2026-06-21T08:39:40Z</dcterms:created>
  <dcterms:modified xsi:type="dcterms:W3CDTF">2026-06-21T08:39:41Z</dcterms:modified>
</cp:coreProperties>
</file>